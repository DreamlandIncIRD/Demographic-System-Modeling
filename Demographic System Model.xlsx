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tabRatio="777"/>
  </bookViews>
  <sheets>
    <sheet name="DSM" sheetId="1" r:id="rId1"/>
  </sheets>
  <calcPr calcId="144525"/>
</workbook>
</file>

<file path=xl/calcChain.xml><?xml version="1.0" encoding="utf-8"?>
<calcChain xmlns="http://schemas.openxmlformats.org/spreadsheetml/2006/main">
  <c r="B12" i="1" l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3" i="1" l="1"/>
  <c r="F2" i="1"/>
  <c r="B3" i="1" l="1"/>
  <c r="O2" i="1"/>
  <c r="L2" i="1"/>
  <c r="J2" i="1"/>
  <c r="H2" i="1"/>
  <c r="I3" i="1" s="1"/>
  <c r="N3" i="1" l="1"/>
  <c r="R2" i="1"/>
  <c r="K3" i="1"/>
  <c r="Q2" i="1"/>
  <c r="S2" i="1" l="1"/>
  <c r="M3" i="1"/>
  <c r="O3" i="1" s="1"/>
  <c r="J3" i="1"/>
  <c r="G3" i="1"/>
  <c r="K4" i="1" l="1"/>
  <c r="G4" i="1"/>
  <c r="N4" i="1"/>
  <c r="L3" i="1"/>
  <c r="M4" i="1" s="1"/>
  <c r="P3" i="1"/>
  <c r="H3" i="1"/>
  <c r="I4" i="1" s="1"/>
  <c r="R3" i="1" l="1"/>
  <c r="J4" i="1"/>
  <c r="N5" i="1" s="1"/>
  <c r="L4" i="1"/>
  <c r="M5" i="1" s="1"/>
  <c r="H4" i="1"/>
  <c r="P4" i="1"/>
  <c r="G5" i="1"/>
  <c r="P5" i="1" s="1"/>
  <c r="O4" i="1"/>
  <c r="K5" i="1" l="1"/>
  <c r="O5" i="1"/>
  <c r="L5" i="1"/>
  <c r="M6" i="1" s="1"/>
  <c r="Q5" i="1"/>
  <c r="Q4" i="1"/>
  <c r="I5" i="1"/>
  <c r="R4" i="1"/>
  <c r="H5" i="1"/>
  <c r="Q3" i="1"/>
  <c r="J5" i="1" l="1"/>
  <c r="R5" i="1" s="1"/>
  <c r="S5" i="1" s="1"/>
  <c r="S4" i="1"/>
  <c r="I6" i="1"/>
  <c r="S3" i="1"/>
  <c r="G6" i="1" l="1"/>
  <c r="P6" i="1" s="1"/>
  <c r="N6" i="1"/>
  <c r="O6" i="1" s="1"/>
  <c r="K6" i="1"/>
  <c r="L6" i="1" s="1"/>
  <c r="M7" i="1" s="1"/>
  <c r="Q6" i="1" l="1"/>
  <c r="H6" i="1"/>
  <c r="J6" i="1"/>
  <c r="N7" i="1" s="1"/>
  <c r="O7" i="1" s="1"/>
  <c r="I7" i="1"/>
  <c r="R6" i="1" l="1"/>
  <c r="S6" i="1" s="1"/>
  <c r="K7" i="1"/>
  <c r="L7" i="1" s="1"/>
  <c r="M8" i="1" s="1"/>
  <c r="G7" i="1"/>
  <c r="H7" i="1" s="1"/>
  <c r="J7" i="1"/>
  <c r="N8" i="1" s="1"/>
  <c r="P7" i="1" l="1"/>
  <c r="Q7" i="1" s="1"/>
  <c r="K8" i="1"/>
  <c r="L8" i="1" s="1"/>
  <c r="M9" i="1" s="1"/>
  <c r="G8" i="1"/>
  <c r="P8" i="1" s="1"/>
  <c r="O8" i="1"/>
  <c r="I8" i="1"/>
  <c r="R7" i="1"/>
  <c r="S7" i="1" l="1"/>
  <c r="J8" i="1"/>
  <c r="G9" i="1" s="1"/>
  <c r="Q8" i="1"/>
  <c r="H8" i="1"/>
  <c r="I9" i="1" s="1"/>
  <c r="N9" i="1" l="1"/>
  <c r="O9" i="1" s="1"/>
  <c r="K9" i="1"/>
  <c r="L9" i="1" s="1"/>
  <c r="M10" i="1" s="1"/>
  <c r="R8" i="1"/>
  <c r="S8" i="1" s="1"/>
  <c r="P9" i="1"/>
  <c r="H9" i="1"/>
  <c r="J9" i="1" l="1"/>
  <c r="K10" i="1" s="1"/>
  <c r="L10" i="1" s="1"/>
  <c r="M11" i="1" s="1"/>
  <c r="Q9" i="1"/>
  <c r="I10" i="1"/>
  <c r="N10" i="1" l="1"/>
  <c r="O10" i="1" s="1"/>
  <c r="R9" i="1"/>
  <c r="G10" i="1"/>
  <c r="S9" i="1"/>
  <c r="P10" i="1"/>
  <c r="Q10" i="1" s="1"/>
  <c r="H10" i="1"/>
  <c r="J10" i="1" l="1"/>
  <c r="N11" i="1" s="1"/>
  <c r="O11" i="1" s="1"/>
  <c r="I11" i="1"/>
  <c r="R10" i="1"/>
  <c r="S10" i="1" s="1"/>
  <c r="K11" i="1"/>
  <c r="L11" i="1" s="1"/>
  <c r="M12" i="1" s="1"/>
  <c r="G11" i="1" l="1"/>
  <c r="P11" i="1" s="1"/>
  <c r="Q11" i="1" s="1"/>
  <c r="J11" i="1"/>
  <c r="H11" i="1" l="1"/>
  <c r="R11" i="1" s="1"/>
  <c r="S11" i="1" s="1"/>
  <c r="G12" i="1"/>
  <c r="P12" i="1" s="1"/>
  <c r="N12" i="1"/>
  <c r="O12" i="1" s="1"/>
  <c r="K12" i="1"/>
  <c r="L12" i="1" s="1"/>
  <c r="M13" i="1" s="1"/>
  <c r="I12" i="1"/>
  <c r="H12" i="1" l="1"/>
  <c r="J12" i="1"/>
  <c r="N13" i="1" s="1"/>
  <c r="O13" i="1" s="1"/>
  <c r="I13" i="1"/>
  <c r="Q12" i="1"/>
  <c r="G13" i="1" l="1"/>
  <c r="P13" i="1" s="1"/>
  <c r="Q13" i="1" s="1"/>
  <c r="K13" i="1"/>
  <c r="L13" i="1" s="1"/>
  <c r="M14" i="1" s="1"/>
  <c r="R12" i="1"/>
  <c r="S12" i="1" s="1"/>
  <c r="H13" i="1" l="1"/>
  <c r="J13" i="1"/>
  <c r="K14" i="1" s="1"/>
  <c r="L14" i="1" s="1"/>
  <c r="I14" i="1"/>
  <c r="G14" i="1" l="1"/>
  <c r="P14" i="1" s="1"/>
  <c r="R13" i="1"/>
  <c r="S13" i="1" s="1"/>
  <c r="N14" i="1"/>
  <c r="O14" i="1" s="1"/>
  <c r="M15" i="1"/>
  <c r="Q14" i="1" l="1"/>
  <c r="H14" i="1"/>
  <c r="I15" i="1" s="1"/>
  <c r="J14" i="1"/>
  <c r="G15" i="1" s="1"/>
  <c r="K15" i="1" l="1"/>
  <c r="L15" i="1" s="1"/>
  <c r="M16" i="1" s="1"/>
  <c r="R14" i="1"/>
  <c r="S14" i="1" s="1"/>
  <c r="N15" i="1"/>
  <c r="O15" i="1" s="1"/>
  <c r="P15" i="1"/>
  <c r="H15" i="1"/>
  <c r="Q15" i="1" l="1"/>
  <c r="J15" i="1"/>
  <c r="G16" i="1" s="1"/>
  <c r="P16" i="1" s="1"/>
  <c r="I16" i="1"/>
  <c r="R15" i="1" l="1"/>
  <c r="S15" i="1" s="1"/>
  <c r="N16" i="1"/>
  <c r="O16" i="1" s="1"/>
  <c r="Q16" i="1" s="1"/>
  <c r="K16" i="1"/>
  <c r="L16" i="1" s="1"/>
  <c r="M17" i="1" s="1"/>
  <c r="H16" i="1"/>
  <c r="I17" i="1" s="1"/>
  <c r="J16" i="1" l="1"/>
  <c r="G17" i="1" s="1"/>
  <c r="R16" i="1" l="1"/>
  <c r="S16" i="1" s="1"/>
  <c r="N17" i="1"/>
  <c r="O17" i="1" s="1"/>
  <c r="K17" i="1"/>
  <c r="L17" i="1" s="1"/>
  <c r="M18" i="1" s="1"/>
  <c r="P17" i="1"/>
  <c r="Q17" i="1" s="1"/>
  <c r="H17" i="1"/>
  <c r="J17" i="1" l="1"/>
  <c r="N18" i="1" s="1"/>
  <c r="O18" i="1" s="1"/>
  <c r="I18" i="1"/>
  <c r="R17" i="1" l="1"/>
  <c r="S17" i="1" s="1"/>
  <c r="K18" i="1"/>
  <c r="L18" i="1" s="1"/>
  <c r="M19" i="1" s="1"/>
  <c r="G18" i="1"/>
  <c r="P18" i="1" s="1"/>
  <c r="Q18" i="1" s="1"/>
  <c r="J18" i="1"/>
  <c r="H18" i="1"/>
  <c r="I19" i="1" s="1"/>
  <c r="R18" i="1" l="1"/>
  <c r="K19" i="1"/>
  <c r="L19" i="1" s="1"/>
  <c r="M20" i="1" s="1"/>
  <c r="G19" i="1"/>
  <c r="P19" i="1" s="1"/>
  <c r="N19" i="1"/>
  <c r="O19" i="1" s="1"/>
  <c r="S18" i="1"/>
  <c r="J19" i="1"/>
  <c r="Q19" i="1" l="1"/>
  <c r="H19" i="1"/>
  <c r="I20" i="1" s="1"/>
  <c r="N20" i="1"/>
  <c r="O20" i="1" s="1"/>
  <c r="K20" i="1"/>
  <c r="L20" i="1" s="1"/>
  <c r="M21" i="1" s="1"/>
  <c r="G20" i="1"/>
  <c r="R19" i="1" l="1"/>
  <c r="S19" i="1" s="1"/>
  <c r="P20" i="1"/>
  <c r="Q20" i="1" s="1"/>
  <c r="H20" i="1"/>
  <c r="J20" i="1"/>
  <c r="R20" i="1" l="1"/>
  <c r="I21" i="1"/>
  <c r="S20" i="1"/>
  <c r="G21" i="1"/>
  <c r="N21" i="1"/>
  <c r="O21" i="1" s="1"/>
  <c r="K21" i="1"/>
  <c r="L21" i="1" s="1"/>
  <c r="M22" i="1" s="1"/>
  <c r="J21" i="1" l="1"/>
  <c r="G22" i="1" s="1"/>
  <c r="P22" i="1" s="1"/>
  <c r="P21" i="1"/>
  <c r="Q21" i="1" s="1"/>
  <c r="H21" i="1"/>
  <c r="N22" i="1" l="1"/>
  <c r="O22" i="1" s="1"/>
  <c r="Q22" i="1" s="1"/>
  <c r="K22" i="1"/>
  <c r="L22" i="1" s="1"/>
  <c r="M23" i="1" s="1"/>
  <c r="I22" i="1"/>
  <c r="R21" i="1"/>
  <c r="S21" i="1" s="1"/>
  <c r="H22" i="1"/>
  <c r="J22" i="1" l="1"/>
  <c r="N23" i="1" s="1"/>
  <c r="O23" i="1" s="1"/>
  <c r="I23" i="1"/>
  <c r="K23" i="1" l="1"/>
  <c r="L23" i="1" s="1"/>
  <c r="M24" i="1" s="1"/>
  <c r="G23" i="1"/>
  <c r="P23" i="1" s="1"/>
  <c r="Q23" i="1" s="1"/>
  <c r="R22" i="1"/>
  <c r="S22" i="1" s="1"/>
  <c r="H23" i="1" l="1"/>
  <c r="J23" i="1"/>
  <c r="N24" i="1" s="1"/>
  <c r="O24" i="1" s="1"/>
  <c r="I24" i="1"/>
  <c r="R23" i="1" l="1"/>
  <c r="S23" i="1" s="1"/>
  <c r="K24" i="1"/>
  <c r="L24" i="1" s="1"/>
  <c r="M25" i="1" s="1"/>
  <c r="G24" i="1"/>
  <c r="P24" i="1" s="1"/>
  <c r="Q24" i="1" s="1"/>
  <c r="J24" i="1"/>
  <c r="N25" i="1" s="1"/>
  <c r="H24" i="1" l="1"/>
  <c r="R24" i="1" s="1"/>
  <c r="S24" i="1" s="1"/>
  <c r="O25" i="1"/>
  <c r="K25" i="1"/>
  <c r="L25" i="1" s="1"/>
  <c r="M26" i="1" s="1"/>
  <c r="G25" i="1"/>
  <c r="P25" i="1" s="1"/>
  <c r="Q25" i="1" s="1"/>
  <c r="I25" i="1"/>
  <c r="J25" i="1" s="1"/>
  <c r="H25" i="1" l="1"/>
  <c r="I26" i="1" s="1"/>
  <c r="G26" i="1"/>
  <c r="P26" i="1" s="1"/>
  <c r="N26" i="1"/>
  <c r="O26" i="1" s="1"/>
  <c r="K26" i="1"/>
  <c r="L26" i="1" s="1"/>
  <c r="M27" i="1" s="1"/>
  <c r="R25" i="1" l="1"/>
  <c r="S25" i="1" s="1"/>
  <c r="H26" i="1"/>
  <c r="Q26" i="1"/>
  <c r="I27" i="1"/>
  <c r="J26" i="1"/>
  <c r="G27" i="1" l="1"/>
  <c r="N27" i="1"/>
  <c r="O27" i="1" s="1"/>
  <c r="K27" i="1"/>
  <c r="L27" i="1" s="1"/>
  <c r="M28" i="1" s="1"/>
  <c r="R26" i="1"/>
  <c r="S26" i="1" s="1"/>
  <c r="J27" i="1" l="1"/>
  <c r="G28" i="1" s="1"/>
  <c r="P28" i="1" s="1"/>
  <c r="P27" i="1"/>
  <c r="Q27" i="1" s="1"/>
  <c r="H27" i="1"/>
  <c r="N28" i="1" l="1"/>
  <c r="O28" i="1" s="1"/>
  <c r="K28" i="1"/>
  <c r="L28" i="1" s="1"/>
  <c r="Q28" i="1"/>
  <c r="R27" i="1"/>
  <c r="S27" i="1" s="1"/>
  <c r="I28" i="1"/>
  <c r="M29" i="1"/>
  <c r="J28" i="1" l="1"/>
  <c r="N29" i="1" s="1"/>
  <c r="O29" i="1" s="1"/>
  <c r="H28" i="1"/>
  <c r="G29" i="1" l="1"/>
  <c r="P29" i="1" s="1"/>
  <c r="Q29" i="1" s="1"/>
  <c r="K29" i="1"/>
  <c r="L29" i="1" s="1"/>
  <c r="M30" i="1" s="1"/>
  <c r="R28" i="1"/>
  <c r="S28" i="1" s="1"/>
  <c r="I29" i="1"/>
  <c r="J29" i="1" s="1"/>
  <c r="H29" i="1" l="1"/>
  <c r="R29" i="1" s="1"/>
  <c r="S29" i="1" s="1"/>
  <c r="G30" i="1"/>
  <c r="P30" i="1" s="1"/>
  <c r="K30" i="1"/>
  <c r="L30" i="1" s="1"/>
  <c r="N30" i="1"/>
  <c r="O30" i="1" s="1"/>
  <c r="I30" i="1"/>
  <c r="Q30" i="1" l="1"/>
  <c r="H30" i="1"/>
  <c r="J30" i="1"/>
  <c r="G31" i="1" s="1"/>
  <c r="P31" i="1" s="1"/>
  <c r="I31" i="1"/>
  <c r="M31" i="1"/>
  <c r="R30" i="1" l="1"/>
  <c r="S30" i="1" s="1"/>
  <c r="N31" i="1"/>
  <c r="O31" i="1" s="1"/>
  <c r="Q31" i="1" s="1"/>
  <c r="K31" i="1"/>
  <c r="L31" i="1" s="1"/>
  <c r="M32" i="1" s="1"/>
  <c r="H31" i="1"/>
  <c r="J31" i="1" l="1"/>
  <c r="I32" i="1"/>
  <c r="K32" i="1" l="1"/>
  <c r="L32" i="1" s="1"/>
  <c r="M33" i="1" s="1"/>
  <c r="N32" i="1"/>
  <c r="O32" i="1" s="1"/>
  <c r="R31" i="1"/>
  <c r="S31" i="1" s="1"/>
  <c r="G32" i="1"/>
  <c r="P32" i="1" s="1"/>
  <c r="Q32" i="1" s="1"/>
  <c r="H32" i="1" l="1"/>
  <c r="J32" i="1"/>
  <c r="I33" i="1"/>
  <c r="G33" i="1" l="1"/>
  <c r="K33" i="1"/>
  <c r="L33" i="1" s="1"/>
  <c r="M34" i="1" s="1"/>
  <c r="N33" i="1"/>
  <c r="O33" i="1" s="1"/>
  <c r="R32" i="1"/>
  <c r="S32" i="1" s="1"/>
  <c r="J33" i="1" l="1"/>
  <c r="P33" i="1"/>
  <c r="Q33" i="1" s="1"/>
  <c r="H33" i="1"/>
  <c r="I34" i="1" l="1"/>
  <c r="R33" i="1"/>
  <c r="S33" i="1" s="1"/>
  <c r="N34" i="1"/>
  <c r="O34" i="1" s="1"/>
  <c r="G34" i="1"/>
  <c r="P34" i="1" s="1"/>
  <c r="K34" i="1"/>
  <c r="L34" i="1" s="1"/>
  <c r="M35" i="1" s="1"/>
  <c r="J34" i="1" l="1"/>
  <c r="Q34" i="1"/>
  <c r="H34" i="1"/>
  <c r="N35" i="1" l="1"/>
  <c r="O35" i="1" s="1"/>
  <c r="G35" i="1"/>
  <c r="P35" i="1" s="1"/>
  <c r="K35" i="1"/>
  <c r="L35" i="1" s="1"/>
  <c r="M36" i="1" s="1"/>
  <c r="I35" i="1"/>
  <c r="R34" i="1"/>
  <c r="S34" i="1" s="1"/>
  <c r="H35" i="1"/>
  <c r="I36" i="1" s="1"/>
  <c r="J35" i="1" l="1"/>
  <c r="R35" i="1" s="1"/>
  <c r="Q35" i="1"/>
  <c r="G36" i="1"/>
  <c r="P36" i="1" s="1"/>
  <c r="H36" i="1" l="1"/>
  <c r="S35" i="1"/>
  <c r="N36" i="1"/>
  <c r="O36" i="1" s="1"/>
  <c r="Q36" i="1" s="1"/>
  <c r="K36" i="1"/>
  <c r="I37" i="1"/>
  <c r="L36" i="1" l="1"/>
  <c r="M37" i="1" s="1"/>
  <c r="J36" i="1"/>
  <c r="N37" i="1" l="1"/>
  <c r="O37" i="1" s="1"/>
  <c r="R36" i="1"/>
  <c r="S36" i="1" s="1"/>
  <c r="G37" i="1"/>
  <c r="K37" i="1"/>
  <c r="P37" i="1" l="1"/>
  <c r="Q37" i="1" s="1"/>
  <c r="H37" i="1"/>
  <c r="L37" i="1"/>
  <c r="M38" i="1" s="1"/>
  <c r="J37" i="1"/>
  <c r="N38" i="1" l="1"/>
  <c r="O38" i="1" s="1"/>
  <c r="G38" i="1"/>
  <c r="K38" i="1"/>
  <c r="L38" i="1" s="1"/>
  <c r="M39" i="1" s="1"/>
  <c r="I38" i="1"/>
  <c r="R37" i="1"/>
  <c r="S37" i="1" s="1"/>
  <c r="J38" i="1" l="1"/>
  <c r="P38" i="1"/>
  <c r="Q38" i="1" s="1"/>
  <c r="H38" i="1"/>
  <c r="R38" i="1" l="1"/>
  <c r="S38" i="1" s="1"/>
  <c r="I39" i="1"/>
  <c r="N39" i="1"/>
  <c r="O39" i="1" s="1"/>
  <c r="G39" i="1"/>
  <c r="K39" i="1"/>
  <c r="L39" i="1" s="1"/>
  <c r="M40" i="1" s="1"/>
  <c r="J39" i="1" l="1"/>
  <c r="P39" i="1"/>
  <c r="Q39" i="1" s="1"/>
  <c r="H39" i="1"/>
  <c r="I40" i="1" l="1"/>
  <c r="R39" i="1"/>
  <c r="S39" i="1" s="1"/>
  <c r="K40" i="1"/>
  <c r="L40" i="1" s="1"/>
  <c r="M41" i="1" s="1"/>
  <c r="N40" i="1"/>
  <c r="O40" i="1" s="1"/>
  <c r="G40" i="1"/>
  <c r="P40" i="1" s="1"/>
  <c r="H40" i="1" l="1"/>
  <c r="I41" i="1" s="1"/>
  <c r="Q40" i="1"/>
  <c r="J40" i="1"/>
  <c r="G41" i="1" l="1"/>
  <c r="K41" i="1"/>
  <c r="L41" i="1" s="1"/>
  <c r="M42" i="1" s="1"/>
  <c r="N41" i="1"/>
  <c r="O41" i="1" s="1"/>
  <c r="R40" i="1"/>
  <c r="S40" i="1" s="1"/>
  <c r="P41" i="1" l="1"/>
  <c r="Q41" i="1" s="1"/>
  <c r="H41" i="1"/>
  <c r="J41" i="1"/>
  <c r="N42" i="1" l="1"/>
  <c r="O42" i="1" s="1"/>
  <c r="G42" i="1"/>
  <c r="P42" i="1" s="1"/>
  <c r="K42" i="1"/>
  <c r="L42" i="1" s="1"/>
  <c r="M43" i="1" s="1"/>
  <c r="I42" i="1"/>
  <c r="R41" i="1"/>
  <c r="S41" i="1" s="1"/>
  <c r="H42" i="1"/>
  <c r="J42" i="1" l="1"/>
  <c r="K43" i="1" s="1"/>
  <c r="L43" i="1" s="1"/>
  <c r="M44" i="1" s="1"/>
  <c r="I43" i="1"/>
  <c r="Q42" i="1"/>
  <c r="N43" i="1" l="1"/>
  <c r="O43" i="1" s="1"/>
  <c r="R42" i="1"/>
  <c r="G43" i="1"/>
  <c r="P43" i="1" s="1"/>
  <c r="S42" i="1"/>
  <c r="Q43" i="1" l="1"/>
  <c r="H43" i="1"/>
  <c r="J43" i="1"/>
  <c r="I44" i="1"/>
  <c r="R43" i="1" l="1"/>
  <c r="S43" i="1" s="1"/>
  <c r="K44" i="1"/>
  <c r="L44" i="1" s="1"/>
  <c r="M45" i="1" s="1"/>
  <c r="G44" i="1"/>
  <c r="N44" i="1"/>
  <c r="O44" i="1" s="1"/>
  <c r="J44" i="1" l="1"/>
  <c r="K45" i="1" s="1"/>
  <c r="L45" i="1" s="1"/>
  <c r="M46" i="1" s="1"/>
  <c r="P44" i="1"/>
  <c r="Q44" i="1" s="1"/>
  <c r="H44" i="1"/>
  <c r="G45" i="1" l="1"/>
  <c r="P45" i="1" s="1"/>
  <c r="N45" i="1"/>
  <c r="O45" i="1" s="1"/>
  <c r="R44" i="1"/>
  <c r="S44" i="1" s="1"/>
  <c r="I45" i="1"/>
  <c r="Q45" i="1" l="1"/>
  <c r="J45" i="1"/>
  <c r="H45" i="1"/>
  <c r="N46" i="1" l="1"/>
  <c r="O46" i="1" s="1"/>
  <c r="K46" i="1"/>
  <c r="L46" i="1" s="1"/>
  <c r="M47" i="1" s="1"/>
  <c r="G46" i="1"/>
  <c r="I46" i="1"/>
  <c r="R45" i="1"/>
  <c r="S45" i="1" s="1"/>
  <c r="P46" i="1" l="1"/>
  <c r="Q46" i="1" s="1"/>
  <c r="H46" i="1"/>
  <c r="J46" i="1"/>
  <c r="K47" i="1" l="1"/>
  <c r="L47" i="1" s="1"/>
  <c r="M48" i="1" s="1"/>
  <c r="G47" i="1"/>
  <c r="N47" i="1"/>
  <c r="O47" i="1" s="1"/>
  <c r="R46" i="1"/>
  <c r="S46" i="1" s="1"/>
  <c r="I47" i="1"/>
  <c r="J47" i="1" s="1"/>
  <c r="G48" i="1" l="1"/>
  <c r="P48" i="1" s="1"/>
  <c r="K48" i="1"/>
  <c r="L48" i="1" s="1"/>
  <c r="M49" i="1" s="1"/>
  <c r="N48" i="1"/>
  <c r="O48" i="1" s="1"/>
  <c r="P47" i="1"/>
  <c r="Q47" i="1" s="1"/>
  <c r="H47" i="1"/>
  <c r="Q48" i="1" l="1"/>
  <c r="R47" i="1"/>
  <c r="S47" i="1" s="1"/>
  <c r="I48" i="1"/>
  <c r="J48" i="1" l="1"/>
  <c r="H48" i="1"/>
  <c r="R48" i="1" l="1"/>
  <c r="S48" i="1" s="1"/>
  <c r="I49" i="1"/>
  <c r="G49" i="1"/>
  <c r="P49" i="1" s="1"/>
  <c r="K49" i="1"/>
  <c r="L49" i="1" s="1"/>
  <c r="M50" i="1" s="1"/>
  <c r="N49" i="1"/>
  <c r="O49" i="1" s="1"/>
  <c r="Q49" i="1" l="1"/>
  <c r="H49" i="1"/>
  <c r="I50" i="1" s="1"/>
  <c r="J49" i="1"/>
  <c r="G50" i="1" l="1"/>
  <c r="K50" i="1"/>
  <c r="L50" i="1" s="1"/>
  <c r="M51" i="1" s="1"/>
  <c r="N50" i="1"/>
  <c r="O50" i="1" s="1"/>
  <c r="R49" i="1"/>
  <c r="S49" i="1" s="1"/>
  <c r="J50" i="1" l="1"/>
  <c r="K51" i="1" s="1"/>
  <c r="L51" i="1" s="1"/>
  <c r="M52" i="1" s="1"/>
  <c r="P50" i="1"/>
  <c r="Q50" i="1" s="1"/>
  <c r="H50" i="1"/>
  <c r="G51" i="1" l="1"/>
  <c r="P51" i="1" s="1"/>
  <c r="N51" i="1"/>
  <c r="O51" i="1" s="1"/>
  <c r="I51" i="1"/>
  <c r="R50" i="1"/>
  <c r="S50" i="1" s="1"/>
  <c r="Q51" i="1" l="1"/>
  <c r="J51" i="1"/>
  <c r="G52" i="1" s="1"/>
  <c r="P52" i="1" s="1"/>
  <c r="H51" i="1"/>
  <c r="N52" i="1"/>
  <c r="O52" i="1" s="1"/>
  <c r="K52" i="1" l="1"/>
  <c r="L52" i="1" s="1"/>
  <c r="M53" i="1" s="1"/>
  <c r="R51" i="1"/>
  <c r="S51" i="1" s="1"/>
  <c r="Q52" i="1"/>
  <c r="I52" i="1"/>
  <c r="H52" i="1" s="1"/>
  <c r="J52" i="1" l="1"/>
  <c r="G53" i="1" s="1"/>
  <c r="P53" i="1" s="1"/>
  <c r="I53" i="1"/>
  <c r="N53" i="1" l="1"/>
  <c r="O53" i="1" s="1"/>
  <c r="Q53" i="1" s="1"/>
  <c r="R52" i="1"/>
  <c r="S52" i="1" s="1"/>
  <c r="K53" i="1"/>
  <c r="L53" i="1" s="1"/>
  <c r="M54" i="1" s="1"/>
  <c r="H53" i="1"/>
  <c r="J53" i="1" l="1"/>
  <c r="R53" i="1" s="1"/>
  <c r="S53" i="1" s="1"/>
  <c r="I54" i="1"/>
  <c r="K54" i="1"/>
  <c r="L54" i="1" s="1"/>
  <c r="M55" i="1" s="1"/>
  <c r="N54" i="1" l="1"/>
  <c r="O54" i="1" s="1"/>
  <c r="G54" i="1"/>
  <c r="P54" i="1" s="1"/>
  <c r="H54" i="1" l="1"/>
  <c r="I55" i="1" s="1"/>
  <c r="Q54" i="1"/>
  <c r="J54" i="1"/>
  <c r="R54" i="1" l="1"/>
  <c r="G55" i="1"/>
  <c r="P55" i="1" s="1"/>
  <c r="S54" i="1"/>
  <c r="H55" i="1"/>
  <c r="I56" i="1" s="1"/>
  <c r="K55" i="1"/>
  <c r="L55" i="1" s="1"/>
  <c r="M56" i="1" s="1"/>
  <c r="N55" i="1"/>
  <c r="O55" i="1" s="1"/>
  <c r="Q55" i="1" l="1"/>
  <c r="J55" i="1"/>
  <c r="N56" i="1" s="1"/>
  <c r="O56" i="1" s="1"/>
  <c r="R55" i="1" l="1"/>
  <c r="S55" i="1" s="1"/>
  <c r="K56" i="1"/>
  <c r="L56" i="1" s="1"/>
  <c r="M57" i="1" s="1"/>
  <c r="G56" i="1"/>
  <c r="H56" i="1" s="1"/>
  <c r="P56" i="1" l="1"/>
  <c r="Q56" i="1" s="1"/>
  <c r="J56" i="1"/>
  <c r="N57" i="1" s="1"/>
  <c r="O57" i="1" s="1"/>
  <c r="I57" i="1"/>
  <c r="R56" i="1" l="1"/>
  <c r="S56" i="1" s="1"/>
  <c r="K57" i="1"/>
  <c r="L57" i="1" s="1"/>
  <c r="M58" i="1" s="1"/>
  <c r="G57" i="1"/>
  <c r="P57" i="1" s="1"/>
  <c r="Q57" i="1" s="1"/>
  <c r="J57" i="1" l="1"/>
  <c r="H57" i="1"/>
  <c r="G58" i="1"/>
  <c r="R57" i="1" l="1"/>
  <c r="S57" i="1" s="1"/>
  <c r="K58" i="1"/>
  <c r="L58" i="1" s="1"/>
  <c r="M59" i="1" s="1"/>
  <c r="N58" i="1"/>
  <c r="O58" i="1" s="1"/>
  <c r="I58" i="1"/>
  <c r="P58" i="1"/>
  <c r="Q58" i="1" s="1"/>
  <c r="J58" i="1" l="1"/>
  <c r="H58" i="1"/>
  <c r="N59" i="1" l="1"/>
  <c r="O59" i="1" s="1"/>
  <c r="G59" i="1"/>
  <c r="P59" i="1" s="1"/>
  <c r="K59" i="1"/>
  <c r="L59" i="1" s="1"/>
  <c r="M60" i="1" s="1"/>
  <c r="R58" i="1"/>
  <c r="S58" i="1" s="1"/>
  <c r="I59" i="1"/>
  <c r="J59" i="1" l="1"/>
  <c r="N60" i="1" s="1"/>
  <c r="O60" i="1" s="1"/>
  <c r="Q59" i="1"/>
  <c r="H59" i="1"/>
  <c r="K60" i="1" l="1"/>
  <c r="L60" i="1" s="1"/>
  <c r="M61" i="1" s="1"/>
  <c r="G60" i="1"/>
  <c r="P60" i="1" s="1"/>
  <c r="Q60" i="1" s="1"/>
  <c r="I60" i="1"/>
  <c r="J60" i="1" s="1"/>
  <c r="R59" i="1"/>
  <c r="S59" i="1" s="1"/>
  <c r="H60" i="1" l="1"/>
  <c r="G61" i="1"/>
  <c r="P61" i="1" s="1"/>
  <c r="N61" i="1"/>
  <c r="O61" i="1" s="1"/>
  <c r="K61" i="1"/>
  <c r="L61" i="1" s="1"/>
  <c r="M62" i="1" s="1"/>
  <c r="Q61" i="1" l="1"/>
  <c r="I61" i="1"/>
  <c r="H61" i="1" s="1"/>
  <c r="R60" i="1"/>
  <c r="S60" i="1" s="1"/>
  <c r="J61" i="1"/>
  <c r="N62" i="1" l="1"/>
  <c r="O62" i="1" s="1"/>
  <c r="K62" i="1"/>
  <c r="L62" i="1" s="1"/>
  <c r="M63" i="1" s="1"/>
  <c r="G62" i="1"/>
  <c r="I62" i="1"/>
  <c r="R61" i="1"/>
  <c r="S61" i="1" s="1"/>
  <c r="J62" i="1" l="1"/>
  <c r="P62" i="1"/>
  <c r="Q62" i="1" s="1"/>
  <c r="H62" i="1"/>
  <c r="I63" i="1" l="1"/>
  <c r="R62" i="1"/>
  <c r="S62" i="1" s="1"/>
  <c r="G63" i="1"/>
  <c r="P63" i="1" s="1"/>
  <c r="N63" i="1"/>
  <c r="O63" i="1" s="1"/>
  <c r="K63" i="1"/>
  <c r="L63" i="1" s="1"/>
  <c r="M64" i="1" s="1"/>
  <c r="Q63" i="1" l="1"/>
  <c r="H63" i="1"/>
  <c r="J63" i="1"/>
  <c r="N64" i="1" l="1"/>
  <c r="O64" i="1" s="1"/>
  <c r="K64" i="1"/>
  <c r="L64" i="1" s="1"/>
  <c r="M65" i="1" s="1"/>
  <c r="G64" i="1"/>
  <c r="P64" i="1" s="1"/>
  <c r="I64" i="1"/>
  <c r="R63" i="1"/>
  <c r="S63" i="1" s="1"/>
  <c r="Q64" i="1" l="1"/>
  <c r="J64" i="1"/>
  <c r="H64" i="1"/>
  <c r="N65" i="1" l="1"/>
  <c r="O65" i="1" s="1"/>
  <c r="K65" i="1"/>
  <c r="L65" i="1" s="1"/>
  <c r="M66" i="1" s="1"/>
  <c r="G65" i="1"/>
  <c r="P65" i="1" s="1"/>
  <c r="I65" i="1"/>
  <c r="R64" i="1"/>
  <c r="S64" i="1" s="1"/>
  <c r="Q65" i="1" l="1"/>
  <c r="H65" i="1"/>
  <c r="I66" i="1" s="1"/>
  <c r="J65" i="1"/>
  <c r="R65" i="1" l="1"/>
  <c r="S65" i="1" s="1"/>
  <c r="N66" i="1"/>
  <c r="O66" i="1" s="1"/>
  <c r="K66" i="1"/>
  <c r="G66" i="1"/>
  <c r="H66" i="1" l="1"/>
  <c r="P66" i="1"/>
  <c r="Q66" i="1" s="1"/>
  <c r="L66" i="1"/>
  <c r="M67" i="1" s="1"/>
  <c r="J66" i="1"/>
  <c r="G67" i="1" l="1"/>
  <c r="K67" i="1"/>
  <c r="L67" i="1" s="1"/>
  <c r="M68" i="1" s="1"/>
  <c r="N67" i="1"/>
  <c r="O67" i="1" s="1"/>
  <c r="R66" i="1"/>
  <c r="S66" i="1" s="1"/>
  <c r="I67" i="1"/>
  <c r="J67" i="1" l="1"/>
  <c r="K68" i="1" s="1"/>
  <c r="L68" i="1" s="1"/>
  <c r="M69" i="1" s="1"/>
  <c r="H67" i="1"/>
  <c r="P67" i="1"/>
  <c r="Q67" i="1" s="1"/>
  <c r="G68" i="1" l="1"/>
  <c r="P68" i="1" s="1"/>
  <c r="N68" i="1"/>
  <c r="O68" i="1" s="1"/>
  <c r="I68" i="1"/>
  <c r="R67" i="1"/>
  <c r="S67" i="1" s="1"/>
  <c r="Q68" i="1" l="1"/>
  <c r="H68" i="1"/>
  <c r="J68" i="1"/>
  <c r="I69" i="1" l="1"/>
  <c r="R68" i="1"/>
  <c r="S68" i="1" s="1"/>
  <c r="K69" i="1"/>
  <c r="L69" i="1" s="1"/>
  <c r="M70" i="1" s="1"/>
  <c r="N69" i="1"/>
  <c r="O69" i="1" s="1"/>
  <c r="G69" i="1"/>
  <c r="J69" i="1" l="1"/>
  <c r="N70" i="1" s="1"/>
  <c r="O70" i="1" s="1"/>
  <c r="P69" i="1"/>
  <c r="Q69" i="1" s="1"/>
  <c r="H69" i="1"/>
  <c r="K70" i="1" l="1"/>
  <c r="L70" i="1" s="1"/>
  <c r="M71" i="1" s="1"/>
  <c r="G70" i="1"/>
  <c r="P70" i="1" s="1"/>
  <c r="Q70" i="1" s="1"/>
  <c r="R69" i="1"/>
  <c r="S69" i="1" s="1"/>
  <c r="I70" i="1"/>
  <c r="J70" i="1" l="1"/>
  <c r="H70" i="1"/>
  <c r="I71" i="1" l="1"/>
  <c r="R70" i="1"/>
  <c r="S70" i="1" s="1"/>
  <c r="N71" i="1"/>
  <c r="O71" i="1" s="1"/>
  <c r="K71" i="1"/>
  <c r="L71" i="1" s="1"/>
  <c r="M72" i="1" s="1"/>
  <c r="G71" i="1"/>
  <c r="J71" i="1" l="1"/>
  <c r="N72" i="1" s="1"/>
  <c r="O72" i="1" s="1"/>
  <c r="P71" i="1"/>
  <c r="Q71" i="1" s="1"/>
  <c r="H71" i="1"/>
  <c r="G72" i="1" l="1"/>
  <c r="P72" i="1" s="1"/>
  <c r="Q72" i="1" s="1"/>
  <c r="K72" i="1"/>
  <c r="L72" i="1" s="1"/>
  <c r="M73" i="1" s="1"/>
  <c r="I72" i="1"/>
  <c r="R71" i="1"/>
  <c r="S71" i="1" s="1"/>
  <c r="J72" i="1" l="1"/>
  <c r="N73" i="1" s="1"/>
  <c r="O73" i="1" s="1"/>
  <c r="H72" i="1"/>
  <c r="G73" i="1" l="1"/>
  <c r="P73" i="1" s="1"/>
  <c r="Q73" i="1" s="1"/>
  <c r="K73" i="1"/>
  <c r="L73" i="1" s="1"/>
  <c r="M74" i="1" s="1"/>
  <c r="R72" i="1"/>
  <c r="S72" i="1" s="1"/>
  <c r="I73" i="1"/>
  <c r="H73" i="1" l="1"/>
  <c r="J73" i="1"/>
  <c r="G74" i="1" l="1"/>
  <c r="K74" i="1"/>
  <c r="L74" i="1" s="1"/>
  <c r="M75" i="1" s="1"/>
  <c r="N74" i="1"/>
  <c r="O74" i="1" s="1"/>
  <c r="I74" i="1"/>
  <c r="R73" i="1"/>
  <c r="S73" i="1" s="1"/>
  <c r="H74" i="1" l="1"/>
  <c r="I75" i="1" s="1"/>
  <c r="J74" i="1"/>
  <c r="P74" i="1"/>
  <c r="Q74" i="1" s="1"/>
  <c r="R74" i="1" l="1"/>
  <c r="S74" i="1" s="1"/>
  <c r="G75" i="1"/>
  <c r="H75" i="1" s="1"/>
  <c r="I76" i="1" s="1"/>
  <c r="N75" i="1"/>
  <c r="O75" i="1" s="1"/>
  <c r="K75" i="1"/>
  <c r="L75" i="1" s="1"/>
  <c r="M76" i="1" s="1"/>
  <c r="P75" i="1" l="1"/>
  <c r="Q75" i="1" s="1"/>
  <c r="J75" i="1"/>
  <c r="G76" i="1" l="1"/>
  <c r="N76" i="1"/>
  <c r="O76" i="1" s="1"/>
  <c r="K76" i="1"/>
  <c r="L76" i="1" s="1"/>
  <c r="M77" i="1" s="1"/>
  <c r="R75" i="1"/>
  <c r="S75" i="1" s="1"/>
  <c r="P76" i="1" l="1"/>
  <c r="Q76" i="1" s="1"/>
  <c r="H76" i="1"/>
  <c r="J76" i="1"/>
  <c r="I77" i="1" l="1"/>
  <c r="R76" i="1"/>
  <c r="S76" i="1" s="1"/>
  <c r="G77" i="1"/>
  <c r="N77" i="1"/>
  <c r="O77" i="1" s="1"/>
  <c r="K77" i="1"/>
  <c r="L77" i="1" s="1"/>
  <c r="M78" i="1" s="1"/>
  <c r="P77" i="1" l="1"/>
  <c r="Q77" i="1" s="1"/>
  <c r="H77" i="1"/>
  <c r="J77" i="1"/>
  <c r="R77" i="1" l="1"/>
  <c r="S77" i="1" s="1"/>
  <c r="I78" i="1"/>
  <c r="K78" i="1"/>
  <c r="L78" i="1" s="1"/>
  <c r="M79" i="1" s="1"/>
  <c r="G78" i="1"/>
  <c r="N78" i="1"/>
  <c r="O78" i="1" s="1"/>
  <c r="J78" i="1" l="1"/>
  <c r="P78" i="1"/>
  <c r="Q78" i="1" s="1"/>
  <c r="H78" i="1"/>
  <c r="G79" i="1" l="1"/>
  <c r="P79" i="1" s="1"/>
  <c r="K79" i="1"/>
  <c r="L79" i="1" s="1"/>
  <c r="M80" i="1" s="1"/>
  <c r="N79" i="1"/>
  <c r="O79" i="1" s="1"/>
  <c r="R78" i="1"/>
  <c r="S78" i="1" s="1"/>
  <c r="I79" i="1"/>
  <c r="J79" i="1" l="1"/>
  <c r="Q79" i="1"/>
  <c r="H79" i="1"/>
  <c r="K80" i="1" l="1"/>
  <c r="L80" i="1" s="1"/>
  <c r="M81" i="1" s="1"/>
  <c r="G80" i="1"/>
  <c r="P80" i="1" s="1"/>
  <c r="N80" i="1"/>
  <c r="O80" i="1" s="1"/>
  <c r="I80" i="1"/>
  <c r="R79" i="1"/>
  <c r="S79" i="1" s="1"/>
  <c r="Q80" i="1" l="1"/>
  <c r="J80" i="1"/>
  <c r="H80" i="1"/>
  <c r="I81" i="1" l="1"/>
  <c r="R80" i="1"/>
  <c r="S80" i="1" s="1"/>
  <c r="G81" i="1"/>
  <c r="P81" i="1" s="1"/>
  <c r="K81" i="1"/>
  <c r="L81" i="1" s="1"/>
  <c r="M82" i="1" s="1"/>
  <c r="N81" i="1"/>
  <c r="O81" i="1" s="1"/>
  <c r="Q81" i="1" l="1"/>
  <c r="J81" i="1"/>
  <c r="K82" i="1" s="1"/>
  <c r="L82" i="1" s="1"/>
  <c r="M83" i="1" s="1"/>
  <c r="H81" i="1"/>
  <c r="N82" i="1"/>
  <c r="O82" i="1" s="1"/>
  <c r="G82" i="1" l="1"/>
  <c r="P82" i="1" s="1"/>
  <c r="Q82" i="1" s="1"/>
  <c r="I82" i="1"/>
  <c r="J82" i="1" s="1"/>
  <c r="R81" i="1"/>
  <c r="S81" i="1" s="1"/>
  <c r="H82" i="1" l="1"/>
  <c r="R82" i="1" s="1"/>
  <c r="S82" i="1" s="1"/>
  <c r="K83" i="1"/>
  <c r="L83" i="1" s="1"/>
  <c r="M84" i="1" s="1"/>
  <c r="N83" i="1"/>
  <c r="O83" i="1" s="1"/>
  <c r="G83" i="1"/>
  <c r="P83" i="1" s="1"/>
  <c r="I83" i="1" l="1"/>
  <c r="H83" i="1" s="1"/>
  <c r="I84" i="1" s="1"/>
  <c r="Q83" i="1"/>
  <c r="J83" i="1" l="1"/>
  <c r="R83" i="1" s="1"/>
  <c r="S83" i="1" s="1"/>
  <c r="K84" i="1" l="1"/>
  <c r="L84" i="1" s="1"/>
  <c r="M85" i="1" s="1"/>
  <c r="G84" i="1"/>
  <c r="H84" i="1" s="1"/>
  <c r="N84" i="1"/>
  <c r="O84" i="1" s="1"/>
  <c r="P84" i="1"/>
  <c r="Q84" i="1" l="1"/>
  <c r="J84" i="1"/>
  <c r="K85" i="1" s="1"/>
  <c r="L85" i="1" s="1"/>
  <c r="M86" i="1" s="1"/>
  <c r="I85" i="1"/>
  <c r="N85" i="1" l="1"/>
  <c r="O85" i="1" s="1"/>
  <c r="R84" i="1"/>
  <c r="S84" i="1" s="1"/>
  <c r="G85" i="1"/>
  <c r="P85" i="1" s="1"/>
  <c r="Q85" i="1" s="1"/>
  <c r="H85" i="1" l="1"/>
  <c r="I86" i="1" s="1"/>
  <c r="J85" i="1"/>
  <c r="N86" i="1" s="1"/>
  <c r="O86" i="1" s="1"/>
  <c r="K86" i="1" l="1"/>
  <c r="R85" i="1"/>
  <c r="S85" i="1" s="1"/>
  <c r="G86" i="1"/>
  <c r="P86" i="1" s="1"/>
  <c r="Q86" i="1" s="1"/>
  <c r="L86" i="1" l="1"/>
  <c r="M87" i="1" s="1"/>
  <c r="J86" i="1"/>
  <c r="H86" i="1"/>
  <c r="G87" i="1" l="1"/>
  <c r="P87" i="1" s="1"/>
  <c r="K87" i="1"/>
  <c r="L87" i="1" s="1"/>
  <c r="M88" i="1" s="1"/>
  <c r="N87" i="1"/>
  <c r="O87" i="1" s="1"/>
  <c r="I87" i="1"/>
  <c r="R86" i="1"/>
  <c r="S86" i="1" s="1"/>
  <c r="Q87" i="1" l="1"/>
  <c r="H87" i="1"/>
  <c r="J87" i="1"/>
  <c r="N88" i="1" l="1"/>
  <c r="O88" i="1" s="1"/>
  <c r="K88" i="1"/>
  <c r="L88" i="1" s="1"/>
  <c r="M89" i="1" s="1"/>
  <c r="G88" i="1"/>
  <c r="I88" i="1"/>
  <c r="R87" i="1"/>
  <c r="S87" i="1" s="1"/>
  <c r="J88" i="1" l="1"/>
  <c r="N89" i="1" s="1"/>
  <c r="O89" i="1" s="1"/>
  <c r="P88" i="1"/>
  <c r="Q88" i="1" s="1"/>
  <c r="H88" i="1"/>
  <c r="K89" i="1" l="1"/>
  <c r="L89" i="1" s="1"/>
  <c r="M90" i="1" s="1"/>
  <c r="G89" i="1"/>
  <c r="P89" i="1" s="1"/>
  <c r="Q89" i="1" s="1"/>
  <c r="I89" i="1"/>
  <c r="R88" i="1"/>
  <c r="S88" i="1" s="1"/>
  <c r="J89" i="1" l="1"/>
  <c r="H89" i="1"/>
  <c r="N90" i="1"/>
  <c r="O90" i="1" s="1"/>
  <c r="G90" i="1" l="1"/>
  <c r="P90" i="1" s="1"/>
  <c r="Q90" i="1" s="1"/>
  <c r="K90" i="1"/>
  <c r="L90" i="1" s="1"/>
  <c r="M91" i="1" s="1"/>
  <c r="I90" i="1"/>
  <c r="R89" i="1"/>
  <c r="S89" i="1" s="1"/>
  <c r="H90" i="1" l="1"/>
  <c r="I91" i="1" s="1"/>
  <c r="J90" i="1"/>
  <c r="K91" i="1" l="1"/>
  <c r="N91" i="1"/>
  <c r="O91" i="1" s="1"/>
  <c r="G91" i="1"/>
  <c r="R90" i="1"/>
  <c r="S90" i="1" s="1"/>
  <c r="P91" i="1" l="1"/>
  <c r="Q91" i="1" s="1"/>
  <c r="H91" i="1"/>
  <c r="L91" i="1"/>
  <c r="M92" i="1" s="1"/>
  <c r="J91" i="1"/>
  <c r="N92" i="1" l="1"/>
  <c r="O92" i="1" s="1"/>
  <c r="K92" i="1"/>
  <c r="L92" i="1" s="1"/>
  <c r="M93" i="1" s="1"/>
  <c r="G92" i="1"/>
  <c r="I92" i="1"/>
  <c r="R91" i="1"/>
  <c r="S91" i="1" s="1"/>
  <c r="P92" i="1" l="1"/>
  <c r="Q92" i="1" s="1"/>
  <c r="H92" i="1"/>
  <c r="J92" i="1"/>
  <c r="K93" i="1" l="1"/>
  <c r="L93" i="1" s="1"/>
  <c r="M94" i="1" s="1"/>
  <c r="G93" i="1"/>
  <c r="N93" i="1"/>
  <c r="O93" i="1" s="1"/>
  <c r="I93" i="1"/>
  <c r="R92" i="1"/>
  <c r="S92" i="1" s="1"/>
  <c r="J93" i="1" l="1"/>
  <c r="K94" i="1" s="1"/>
  <c r="L94" i="1" s="1"/>
  <c r="M95" i="1" s="1"/>
  <c r="P93" i="1"/>
  <c r="Q93" i="1" s="1"/>
  <c r="H93" i="1"/>
  <c r="N94" i="1" l="1"/>
  <c r="O94" i="1" s="1"/>
  <c r="G94" i="1"/>
  <c r="P94" i="1" s="1"/>
  <c r="R93" i="1"/>
  <c r="S93" i="1" s="1"/>
  <c r="I94" i="1"/>
  <c r="Q94" i="1" l="1"/>
  <c r="J94" i="1"/>
  <c r="H94" i="1"/>
  <c r="G95" i="1" l="1"/>
  <c r="P95" i="1" s="1"/>
  <c r="N95" i="1"/>
  <c r="O95" i="1" s="1"/>
  <c r="K95" i="1"/>
  <c r="L95" i="1" s="1"/>
  <c r="M96" i="1" s="1"/>
  <c r="I95" i="1"/>
  <c r="R94" i="1"/>
  <c r="S94" i="1" s="1"/>
  <c r="Q95" i="1" l="1"/>
  <c r="H95" i="1"/>
  <c r="J95" i="1"/>
  <c r="K96" i="1" s="1"/>
  <c r="L96" i="1" s="1"/>
  <c r="M97" i="1" s="1"/>
  <c r="N96" i="1" l="1"/>
  <c r="O96" i="1" s="1"/>
  <c r="G96" i="1"/>
  <c r="P96" i="1" s="1"/>
  <c r="Q96" i="1" s="1"/>
  <c r="R95" i="1"/>
  <c r="S95" i="1" s="1"/>
  <c r="I96" i="1"/>
  <c r="J96" i="1" l="1"/>
  <c r="G97" i="1" s="1"/>
  <c r="P97" i="1" s="1"/>
  <c r="H96" i="1"/>
  <c r="I97" i="1" s="1"/>
  <c r="R96" i="1" l="1"/>
  <c r="S96" i="1" s="1"/>
  <c r="N97" i="1"/>
  <c r="O97" i="1" s="1"/>
  <c r="Q97" i="1" s="1"/>
  <c r="K97" i="1"/>
  <c r="L97" i="1" s="1"/>
  <c r="M98" i="1" s="1"/>
  <c r="J97" i="1"/>
  <c r="G98" i="1" s="1"/>
  <c r="P98" i="1" s="1"/>
  <c r="H97" i="1"/>
  <c r="N98" i="1" l="1"/>
  <c r="O98" i="1" s="1"/>
  <c r="Q98" i="1" s="1"/>
  <c r="K98" i="1"/>
  <c r="L98" i="1" s="1"/>
  <c r="M99" i="1" s="1"/>
  <c r="I98" i="1"/>
  <c r="R97" i="1"/>
  <c r="S97" i="1" s="1"/>
  <c r="H98" i="1" l="1"/>
  <c r="J98" i="1"/>
  <c r="I99" i="1" l="1"/>
  <c r="R98" i="1"/>
  <c r="S98" i="1" s="1"/>
  <c r="N99" i="1"/>
  <c r="O99" i="1" s="1"/>
  <c r="G99" i="1"/>
  <c r="K99" i="1"/>
  <c r="L99" i="1" s="1"/>
  <c r="M100" i="1" s="1"/>
  <c r="J99" i="1" l="1"/>
  <c r="G100" i="1" s="1"/>
  <c r="P100" i="1" s="1"/>
  <c r="H99" i="1"/>
  <c r="I100" i="1" s="1"/>
  <c r="P99" i="1"/>
  <c r="Q99" i="1" s="1"/>
  <c r="R99" i="1" l="1"/>
  <c r="S99" i="1" s="1"/>
  <c r="N100" i="1"/>
  <c r="O100" i="1" s="1"/>
  <c r="Q100" i="1" s="1"/>
  <c r="K100" i="1"/>
  <c r="L100" i="1" s="1"/>
  <c r="M101" i="1" s="1"/>
  <c r="H100" i="1"/>
  <c r="J100" i="1" l="1"/>
  <c r="G101" i="1" s="1"/>
  <c r="P101" i="1" s="1"/>
  <c r="I101" i="1"/>
  <c r="R100" i="1"/>
  <c r="S100" i="1" s="1"/>
  <c r="N101" i="1" l="1"/>
  <c r="O101" i="1" s="1"/>
  <c r="Q101" i="1" s="1"/>
  <c r="K101" i="1"/>
  <c r="L101" i="1" s="1"/>
  <c r="M102" i="1" s="1"/>
  <c r="H101" i="1"/>
  <c r="J101" i="1" l="1"/>
  <c r="N102" i="1" s="1"/>
  <c r="O102" i="1" s="1"/>
  <c r="I102" i="1"/>
  <c r="K102" i="1" l="1"/>
  <c r="L102" i="1" s="1"/>
  <c r="M103" i="1" s="1"/>
  <c r="R101" i="1"/>
  <c r="S101" i="1" s="1"/>
  <c r="G102" i="1"/>
  <c r="H102" i="1" s="1"/>
  <c r="P102" i="1" l="1"/>
  <c r="Q102" i="1" s="1"/>
  <c r="J102" i="1"/>
  <c r="N103" i="1" s="1"/>
  <c r="O103" i="1" s="1"/>
  <c r="I103" i="1"/>
  <c r="R102" i="1" l="1"/>
  <c r="S102" i="1" s="1"/>
  <c r="K103" i="1"/>
  <c r="L103" i="1" s="1"/>
  <c r="M104" i="1" s="1"/>
  <c r="G103" i="1"/>
  <c r="P103" i="1" s="1"/>
  <c r="Q103" i="1" s="1"/>
  <c r="J103" i="1"/>
  <c r="H103" i="1" l="1"/>
  <c r="R103" i="1" s="1"/>
  <c r="S103" i="1" s="1"/>
  <c r="N104" i="1"/>
  <c r="O104" i="1" s="1"/>
  <c r="K104" i="1"/>
  <c r="L104" i="1" s="1"/>
  <c r="M105" i="1" s="1"/>
  <c r="G104" i="1"/>
  <c r="P104" i="1" s="1"/>
  <c r="Q104" i="1" s="1"/>
  <c r="I104" i="1" l="1"/>
  <c r="H104" i="1" s="1"/>
  <c r="J104" i="1" l="1"/>
  <c r="N105" i="1" s="1"/>
  <c r="O105" i="1" s="1"/>
  <c r="K105" i="1"/>
  <c r="L105" i="1" s="1"/>
  <c r="M106" i="1" s="1"/>
  <c r="I105" i="1"/>
  <c r="R104" i="1" l="1"/>
  <c r="S104" i="1" s="1"/>
  <c r="G105" i="1"/>
  <c r="P105" i="1" s="1"/>
  <c r="Q105" i="1" s="1"/>
  <c r="J105" i="1"/>
  <c r="H105" i="1"/>
  <c r="I106" i="1" s="1"/>
  <c r="K106" i="1" l="1"/>
  <c r="L106" i="1" s="1"/>
  <c r="M107" i="1" s="1"/>
  <c r="N106" i="1"/>
  <c r="O106" i="1" s="1"/>
  <c r="G106" i="1"/>
  <c r="P106" i="1" s="1"/>
  <c r="R105" i="1"/>
  <c r="S105" i="1" s="1"/>
  <c r="H106" i="1"/>
  <c r="Q106" i="1" l="1"/>
  <c r="J106" i="1"/>
  <c r="R106" i="1" s="1"/>
  <c r="S106" i="1" s="1"/>
  <c r="I107" i="1"/>
  <c r="N107" i="1" l="1"/>
  <c r="O107" i="1" s="1"/>
  <c r="K107" i="1"/>
  <c r="L107" i="1" s="1"/>
  <c r="M108" i="1" s="1"/>
  <c r="G107" i="1"/>
  <c r="P107" i="1" s="1"/>
  <c r="Q107" i="1" s="1"/>
  <c r="J107" i="1" l="1"/>
  <c r="N108" i="1" s="1"/>
  <c r="O108" i="1" s="1"/>
  <c r="H107" i="1"/>
  <c r="I108" i="1" s="1"/>
  <c r="G108" i="1" l="1"/>
  <c r="K108" i="1"/>
  <c r="L108" i="1" s="1"/>
  <c r="M109" i="1" s="1"/>
  <c r="R107" i="1"/>
  <c r="S107" i="1" s="1"/>
  <c r="J108" i="1"/>
  <c r="H108" i="1" l="1"/>
  <c r="P108" i="1"/>
  <c r="Q108" i="1" s="1"/>
  <c r="G109" i="1"/>
  <c r="K109" i="1"/>
  <c r="L109" i="1" s="1"/>
  <c r="M110" i="1" s="1"/>
  <c r="N109" i="1"/>
  <c r="O109" i="1" s="1"/>
  <c r="R108" i="1" l="1"/>
  <c r="S108" i="1" s="1"/>
  <c r="I109" i="1"/>
  <c r="P109" i="1"/>
  <c r="Q109" i="1" s="1"/>
  <c r="H109" i="1"/>
  <c r="J109" i="1"/>
  <c r="I110" i="1" l="1"/>
  <c r="R109" i="1"/>
  <c r="S109" i="1" s="1"/>
  <c r="K110" i="1"/>
  <c r="L110" i="1" s="1"/>
  <c r="M111" i="1" s="1"/>
  <c r="N110" i="1"/>
  <c r="O110" i="1" s="1"/>
  <c r="G110" i="1"/>
  <c r="P110" i="1" s="1"/>
  <c r="Q110" i="1" l="1"/>
  <c r="J110" i="1"/>
  <c r="H110" i="1"/>
  <c r="I111" i="1" l="1"/>
  <c r="R110" i="1"/>
  <c r="S110" i="1" s="1"/>
  <c r="N111" i="1"/>
  <c r="O111" i="1" s="1"/>
  <c r="K111" i="1"/>
  <c r="L111" i="1" s="1"/>
  <c r="M112" i="1" s="1"/>
  <c r="G111" i="1"/>
  <c r="P111" i="1" s="1"/>
  <c r="Q111" i="1" s="1"/>
  <c r="J111" i="1" l="1"/>
  <c r="H111" i="1"/>
  <c r="I112" i="1" l="1"/>
  <c r="R111" i="1"/>
  <c r="S111" i="1" s="1"/>
  <c r="N112" i="1"/>
  <c r="O112" i="1" s="1"/>
  <c r="G112" i="1"/>
  <c r="P112" i="1" s="1"/>
  <c r="K112" i="1"/>
  <c r="L112" i="1" s="1"/>
  <c r="M113" i="1" s="1"/>
  <c r="J112" i="1" l="1"/>
  <c r="Q112" i="1"/>
  <c r="H112" i="1"/>
  <c r="I113" i="1" l="1"/>
  <c r="R112" i="1"/>
  <c r="S112" i="1" s="1"/>
  <c r="G113" i="1"/>
  <c r="P113" i="1" s="1"/>
  <c r="N113" i="1"/>
  <c r="O113" i="1" s="1"/>
  <c r="K113" i="1"/>
  <c r="L113" i="1" s="1"/>
  <c r="M114" i="1" s="1"/>
  <c r="Q113" i="1" l="1"/>
  <c r="H113" i="1"/>
  <c r="J113" i="1"/>
  <c r="K114" i="1" l="1"/>
  <c r="L114" i="1" s="1"/>
  <c r="M115" i="1" s="1"/>
  <c r="N114" i="1"/>
  <c r="O114" i="1" s="1"/>
  <c r="G114" i="1"/>
  <c r="P114" i="1" s="1"/>
  <c r="I114" i="1"/>
  <c r="R113" i="1"/>
  <c r="S113" i="1" s="1"/>
  <c r="H114" i="1" l="1"/>
  <c r="J114" i="1"/>
  <c r="N115" i="1" s="1"/>
  <c r="O115" i="1" s="1"/>
  <c r="I115" i="1"/>
  <c r="Q114" i="1"/>
  <c r="K115" i="1" l="1"/>
  <c r="L115" i="1" s="1"/>
  <c r="M116" i="1" s="1"/>
  <c r="G115" i="1"/>
  <c r="P115" i="1" s="1"/>
  <c r="Q115" i="1" s="1"/>
  <c r="R114" i="1"/>
  <c r="S114" i="1" s="1"/>
  <c r="J115" i="1" l="1"/>
  <c r="G116" i="1" s="1"/>
  <c r="H115" i="1"/>
  <c r="I116" i="1" s="1"/>
  <c r="R115" i="1"/>
  <c r="S115" i="1" s="1"/>
  <c r="K116" i="1"/>
  <c r="L116" i="1" s="1"/>
  <c r="M117" i="1" s="1"/>
  <c r="N116" i="1" l="1"/>
  <c r="O116" i="1" s="1"/>
  <c r="P116" i="1"/>
  <c r="Q116" i="1" s="1"/>
  <c r="H116" i="1"/>
  <c r="J116" i="1" l="1"/>
  <c r="G117" i="1" s="1"/>
  <c r="P117" i="1" s="1"/>
  <c r="N117" i="1"/>
  <c r="O117" i="1" s="1"/>
  <c r="I117" i="1"/>
  <c r="R116" i="1"/>
  <c r="S116" i="1" s="1"/>
  <c r="K117" i="1" l="1"/>
  <c r="L117" i="1" s="1"/>
  <c r="M118" i="1" s="1"/>
  <c r="Q117" i="1"/>
  <c r="J117" i="1"/>
  <c r="H117" i="1"/>
  <c r="G118" i="1" l="1"/>
  <c r="K118" i="1"/>
  <c r="L118" i="1" s="1"/>
  <c r="M119" i="1" s="1"/>
  <c r="N118" i="1"/>
  <c r="O118" i="1" s="1"/>
  <c r="R117" i="1"/>
  <c r="S117" i="1" s="1"/>
  <c r="I118" i="1"/>
  <c r="J118" i="1" l="1"/>
  <c r="N119" i="1" s="1"/>
  <c r="O119" i="1" s="1"/>
  <c r="P118" i="1"/>
  <c r="Q118" i="1" s="1"/>
  <c r="H118" i="1"/>
  <c r="G119" i="1" l="1"/>
  <c r="P119" i="1" s="1"/>
  <c r="Q119" i="1" s="1"/>
  <c r="K119" i="1"/>
  <c r="L119" i="1" s="1"/>
  <c r="M120" i="1" s="1"/>
  <c r="I119" i="1"/>
  <c r="R118" i="1"/>
  <c r="S118" i="1" s="1"/>
  <c r="J119" i="1" l="1"/>
  <c r="H119" i="1"/>
  <c r="K120" i="1" l="1"/>
  <c r="L120" i="1" s="1"/>
  <c r="M121" i="1" s="1"/>
  <c r="N120" i="1"/>
  <c r="O120" i="1" s="1"/>
  <c r="G120" i="1"/>
  <c r="I120" i="1"/>
  <c r="R119" i="1"/>
  <c r="S119" i="1" s="1"/>
  <c r="P120" i="1" l="1"/>
  <c r="Q120" i="1" s="1"/>
  <c r="H120" i="1"/>
  <c r="J120" i="1"/>
  <c r="K121" i="1" l="1"/>
  <c r="L121" i="1" s="1"/>
  <c r="M122" i="1" s="1"/>
  <c r="N121" i="1"/>
  <c r="O121" i="1" s="1"/>
  <c r="G121" i="1"/>
  <c r="P121" i="1" s="1"/>
  <c r="R120" i="1"/>
  <c r="S120" i="1" s="1"/>
  <c r="I121" i="1"/>
  <c r="J121" i="1" l="1"/>
  <c r="G122" i="1" s="1"/>
  <c r="P122" i="1" s="1"/>
  <c r="Q121" i="1"/>
  <c r="H121" i="1"/>
  <c r="N122" i="1" l="1"/>
  <c r="O122" i="1" s="1"/>
  <c r="K122" i="1"/>
  <c r="L122" i="1" s="1"/>
  <c r="M123" i="1" s="1"/>
  <c r="Q122" i="1"/>
  <c r="R121" i="1"/>
  <c r="S121" i="1" s="1"/>
  <c r="I122" i="1"/>
  <c r="J122" i="1" s="1"/>
  <c r="H122" i="1" l="1"/>
  <c r="R122" i="1" s="1"/>
  <c r="S122" i="1" s="1"/>
  <c r="G123" i="1"/>
  <c r="P123" i="1" s="1"/>
  <c r="K123" i="1"/>
  <c r="L123" i="1" s="1"/>
  <c r="M124" i="1" s="1"/>
  <c r="N123" i="1"/>
  <c r="O123" i="1" s="1"/>
  <c r="I123" i="1" l="1"/>
  <c r="J123" i="1" s="1"/>
  <c r="Q123" i="1"/>
  <c r="H123" i="1" l="1"/>
  <c r="I124" i="1" s="1"/>
  <c r="G124" i="1"/>
  <c r="P124" i="1" s="1"/>
  <c r="N124" i="1"/>
  <c r="O124" i="1" s="1"/>
  <c r="K124" i="1"/>
  <c r="L124" i="1" s="1"/>
  <c r="M125" i="1" s="1"/>
  <c r="R123" i="1" l="1"/>
  <c r="S123" i="1" s="1"/>
  <c r="H124" i="1"/>
  <c r="I125" i="1" s="1"/>
  <c r="Q124" i="1"/>
  <c r="J124" i="1"/>
  <c r="N125" i="1" l="1"/>
  <c r="O125" i="1" s="1"/>
  <c r="K125" i="1"/>
  <c r="L125" i="1" s="1"/>
  <c r="M126" i="1" s="1"/>
  <c r="G125" i="1"/>
  <c r="R124" i="1"/>
  <c r="S124" i="1" s="1"/>
  <c r="J125" i="1" l="1"/>
  <c r="P125" i="1"/>
  <c r="Q125" i="1" s="1"/>
  <c r="H125" i="1"/>
  <c r="R125" i="1" l="1"/>
  <c r="S125" i="1" s="1"/>
  <c r="I126" i="1"/>
  <c r="G126" i="1"/>
  <c r="H126" i="1" s="1"/>
  <c r="N126" i="1"/>
  <c r="O126" i="1" s="1"/>
  <c r="K126" i="1"/>
  <c r="L126" i="1" s="1"/>
  <c r="M127" i="1" s="1"/>
  <c r="P126" i="1" l="1"/>
  <c r="Q126" i="1" s="1"/>
  <c r="J126" i="1"/>
  <c r="I127" i="1"/>
  <c r="R126" i="1"/>
  <c r="S126" i="1" l="1"/>
  <c r="N127" i="1"/>
  <c r="O127" i="1" s="1"/>
  <c r="G127" i="1"/>
  <c r="K127" i="1"/>
  <c r="L127" i="1" s="1"/>
  <c r="M128" i="1" s="1"/>
  <c r="J127" i="1" l="1"/>
  <c r="N128" i="1" s="1"/>
  <c r="O128" i="1" s="1"/>
  <c r="P127" i="1"/>
  <c r="Q127" i="1" s="1"/>
  <c r="H127" i="1"/>
  <c r="K128" i="1" l="1"/>
  <c r="L128" i="1" s="1"/>
  <c r="M129" i="1" s="1"/>
  <c r="G128" i="1"/>
  <c r="P128" i="1" s="1"/>
  <c r="Q128" i="1" s="1"/>
  <c r="I128" i="1"/>
  <c r="R127" i="1"/>
  <c r="S127" i="1" s="1"/>
  <c r="J128" i="1" l="1"/>
  <c r="G129" i="1" s="1"/>
  <c r="N129" i="1"/>
  <c r="O129" i="1" s="1"/>
  <c r="H128" i="1"/>
  <c r="K129" i="1" l="1"/>
  <c r="L129" i="1" s="1"/>
  <c r="M130" i="1" s="1"/>
  <c r="R128" i="1"/>
  <c r="S128" i="1" s="1"/>
  <c r="I129" i="1"/>
  <c r="J129" i="1" s="1"/>
  <c r="P129" i="1"/>
  <c r="Q129" i="1" s="1"/>
  <c r="H129" i="1" l="1"/>
  <c r="I130" i="1" s="1"/>
  <c r="R129" i="1"/>
  <c r="S129" i="1" s="1"/>
  <c r="K130" i="1"/>
  <c r="L130" i="1" s="1"/>
  <c r="N130" i="1"/>
  <c r="O130" i="1" s="1"/>
  <c r="G130" i="1"/>
  <c r="J130" i="1" l="1"/>
  <c r="N131" i="1" s="1"/>
  <c r="H130" i="1"/>
  <c r="P130" i="1"/>
  <c r="Q130" i="1" s="1"/>
  <c r="M131" i="1"/>
  <c r="O131" i="1" l="1"/>
  <c r="K131" i="1"/>
  <c r="L131" i="1" s="1"/>
  <c r="M132" i="1" s="1"/>
  <c r="G131" i="1"/>
  <c r="P131" i="1" s="1"/>
  <c r="Q131" i="1" s="1"/>
  <c r="R130" i="1"/>
  <c r="I131" i="1"/>
  <c r="J131" i="1" s="1"/>
  <c r="S130" i="1"/>
  <c r="K132" i="1" l="1"/>
  <c r="L132" i="1" s="1"/>
  <c r="M133" i="1" s="1"/>
  <c r="G132" i="1"/>
  <c r="P132" i="1" s="1"/>
  <c r="N132" i="1"/>
  <c r="O132" i="1" s="1"/>
  <c r="H131" i="1"/>
  <c r="I132" i="1" l="1"/>
  <c r="J132" i="1" s="1"/>
  <c r="R131" i="1"/>
  <c r="S131" i="1" s="1"/>
  <c r="Q132" i="1"/>
  <c r="H132" i="1" l="1"/>
  <c r="G133" i="1"/>
  <c r="K133" i="1"/>
  <c r="L133" i="1" s="1"/>
  <c r="M134" i="1" s="1"/>
  <c r="N133" i="1"/>
  <c r="O133" i="1" s="1"/>
  <c r="P133" i="1" l="1"/>
  <c r="Q133" i="1" s="1"/>
  <c r="I133" i="1"/>
  <c r="J133" i="1" s="1"/>
  <c r="R132" i="1"/>
  <c r="S132" i="1" s="1"/>
  <c r="H133" i="1"/>
  <c r="I134" i="1" l="1"/>
  <c r="R133" i="1"/>
  <c r="S133" i="1" s="1"/>
  <c r="K134" i="1"/>
  <c r="L134" i="1" s="1"/>
  <c r="M135" i="1" s="1"/>
  <c r="G134" i="1"/>
  <c r="N134" i="1"/>
  <c r="O134" i="1" s="1"/>
  <c r="H134" i="1" l="1"/>
  <c r="I135" i="1" s="1"/>
  <c r="J134" i="1"/>
  <c r="P134" i="1"/>
  <c r="Q134" i="1" s="1"/>
  <c r="R134" i="1" l="1"/>
  <c r="S134" i="1" s="1"/>
  <c r="K135" i="1"/>
  <c r="L135" i="1" s="1"/>
  <c r="M136" i="1" s="1"/>
  <c r="N135" i="1"/>
  <c r="O135" i="1" s="1"/>
  <c r="G135" i="1"/>
  <c r="H135" i="1" l="1"/>
  <c r="P135" i="1"/>
  <c r="Q135" i="1" s="1"/>
  <c r="J135" i="1"/>
  <c r="G136" i="1" l="1"/>
  <c r="P136" i="1" s="1"/>
  <c r="K136" i="1"/>
  <c r="L136" i="1" s="1"/>
  <c r="M137" i="1" s="1"/>
  <c r="N136" i="1"/>
  <c r="O136" i="1" s="1"/>
  <c r="I136" i="1"/>
  <c r="R135" i="1"/>
  <c r="S135" i="1" s="1"/>
  <c r="H136" i="1" l="1"/>
  <c r="I137" i="1" s="1"/>
  <c r="J136" i="1"/>
  <c r="K137" i="1"/>
  <c r="L137" i="1" s="1"/>
  <c r="M138" i="1" s="1"/>
  <c r="G137" i="1"/>
  <c r="P137" i="1" s="1"/>
  <c r="N137" i="1"/>
  <c r="O137" i="1" s="1"/>
  <c r="R136" i="1"/>
  <c r="Q136" i="1"/>
  <c r="J137" i="1" l="1"/>
  <c r="K138" i="1" s="1"/>
  <c r="L138" i="1" s="1"/>
  <c r="M139" i="1" s="1"/>
  <c r="H137" i="1"/>
  <c r="I138" i="1" s="1"/>
  <c r="N138" i="1"/>
  <c r="O138" i="1" s="1"/>
  <c r="Q137" i="1"/>
  <c r="S136" i="1"/>
  <c r="G138" i="1" l="1"/>
  <c r="P138" i="1" s="1"/>
  <c r="Q138" i="1" s="1"/>
  <c r="J138" i="1"/>
  <c r="G139" i="1" s="1"/>
  <c r="R137" i="1"/>
  <c r="S137" i="1"/>
  <c r="K139" i="1"/>
  <c r="L139" i="1" s="1"/>
  <c r="M140" i="1" s="1"/>
  <c r="H138" i="1" l="1"/>
  <c r="I139" i="1" s="1"/>
  <c r="N139" i="1"/>
  <c r="O139" i="1" s="1"/>
  <c r="R138" i="1"/>
  <c r="S138" i="1" s="1"/>
  <c r="P139" i="1"/>
  <c r="H139" i="1"/>
  <c r="Q139" i="1" l="1"/>
  <c r="J139" i="1"/>
  <c r="R139" i="1"/>
  <c r="I140" i="1"/>
  <c r="S139" i="1" l="1"/>
  <c r="N140" i="1"/>
  <c r="O140" i="1" s="1"/>
  <c r="G140" i="1"/>
  <c r="P140" i="1" s="1"/>
  <c r="Q140" i="1" s="1"/>
  <c r="K140" i="1"/>
  <c r="L140" i="1" s="1"/>
  <c r="M141" i="1" s="1"/>
  <c r="H140" i="1"/>
  <c r="J140" i="1"/>
  <c r="N141" i="1" l="1"/>
  <c r="O141" i="1" s="1"/>
  <c r="K141" i="1"/>
  <c r="L141" i="1" s="1"/>
  <c r="M142" i="1" s="1"/>
  <c r="G141" i="1"/>
  <c r="P141" i="1" s="1"/>
  <c r="Q141" i="1" s="1"/>
  <c r="I141" i="1"/>
  <c r="R140" i="1"/>
  <c r="S140" i="1" s="1"/>
  <c r="H141" i="1" l="1"/>
  <c r="I142" i="1" s="1"/>
  <c r="J141" i="1"/>
  <c r="G142" i="1"/>
  <c r="P142" i="1" s="1"/>
  <c r="K142" i="1"/>
  <c r="L142" i="1" s="1"/>
  <c r="M143" i="1" s="1"/>
  <c r="N142" i="1"/>
  <c r="O142" i="1" s="1"/>
  <c r="Q142" i="1" l="1"/>
  <c r="R141" i="1"/>
  <c r="S141" i="1" s="1"/>
  <c r="H142" i="1"/>
  <c r="J142" i="1"/>
  <c r="N143" i="1" s="1"/>
  <c r="O143" i="1" s="1"/>
  <c r="I143" i="1"/>
  <c r="R142" i="1" l="1"/>
  <c r="S142" i="1" s="1"/>
  <c r="G143" i="1"/>
  <c r="P143" i="1" s="1"/>
  <c r="Q143" i="1" s="1"/>
  <c r="H143" i="1"/>
  <c r="I144" i="1" s="1"/>
  <c r="K143" i="1"/>
  <c r="L143" i="1" l="1"/>
  <c r="M144" i="1" s="1"/>
  <c r="J143" i="1"/>
  <c r="K144" i="1" l="1"/>
  <c r="G144" i="1"/>
  <c r="N144" i="1"/>
  <c r="O144" i="1" s="1"/>
  <c r="R143" i="1"/>
  <c r="S143" i="1" s="1"/>
  <c r="L144" i="1" l="1"/>
  <c r="M145" i="1" s="1"/>
  <c r="J144" i="1"/>
  <c r="P144" i="1"/>
  <c r="Q144" i="1" s="1"/>
  <c r="H144" i="1"/>
  <c r="R144" i="1" l="1"/>
  <c r="S144" i="1" s="1"/>
  <c r="I145" i="1"/>
  <c r="G145" i="1"/>
  <c r="K145" i="1"/>
  <c r="L145" i="1" s="1"/>
  <c r="M146" i="1" s="1"/>
  <c r="N145" i="1"/>
  <c r="O145" i="1" s="1"/>
  <c r="J145" i="1" l="1"/>
  <c r="P145" i="1"/>
  <c r="Q145" i="1" s="1"/>
  <c r="H145" i="1"/>
  <c r="I146" i="1" s="1"/>
  <c r="R145" i="1" l="1"/>
  <c r="S145" i="1" s="1"/>
  <c r="N146" i="1"/>
  <c r="O146" i="1" s="1"/>
  <c r="K146" i="1"/>
  <c r="G146" i="1"/>
  <c r="L146" i="1" l="1"/>
  <c r="M147" i="1" s="1"/>
  <c r="J146" i="1"/>
  <c r="P146" i="1"/>
  <c r="Q146" i="1" s="1"/>
  <c r="H146" i="1"/>
  <c r="R146" i="1" l="1"/>
  <c r="S146" i="1" s="1"/>
  <c r="I147" i="1"/>
  <c r="G147" i="1"/>
  <c r="N147" i="1"/>
  <c r="O147" i="1" s="1"/>
  <c r="K147" i="1"/>
  <c r="L147" i="1" s="1"/>
  <c r="M148" i="1" s="1"/>
  <c r="P147" i="1" l="1"/>
  <c r="Q147" i="1" s="1"/>
  <c r="H147" i="1"/>
  <c r="J147" i="1"/>
  <c r="N148" i="1" l="1"/>
  <c r="O148" i="1" s="1"/>
  <c r="K148" i="1"/>
  <c r="L148" i="1" s="1"/>
  <c r="M149" i="1" s="1"/>
  <c r="G148" i="1"/>
  <c r="P148" i="1" s="1"/>
  <c r="Q148" i="1" s="1"/>
  <c r="I148" i="1"/>
  <c r="R147" i="1"/>
  <c r="S147" i="1" s="1"/>
  <c r="J148" i="1" l="1"/>
  <c r="K149" i="1" s="1"/>
  <c r="L149" i="1" s="1"/>
  <c r="M150" i="1" s="1"/>
  <c r="H148" i="1"/>
  <c r="G149" i="1" l="1"/>
  <c r="P149" i="1" s="1"/>
  <c r="N149" i="1"/>
  <c r="O149" i="1" s="1"/>
  <c r="I149" i="1"/>
  <c r="R148" i="1"/>
  <c r="S148" i="1" s="1"/>
  <c r="Q149" i="1" l="1"/>
  <c r="J149" i="1"/>
  <c r="H149" i="1"/>
  <c r="I150" i="1" s="1"/>
  <c r="N150" i="1"/>
  <c r="O150" i="1" s="1"/>
  <c r="K150" i="1"/>
  <c r="L150" i="1" s="1"/>
  <c r="M151" i="1" s="1"/>
  <c r="R149" i="1" l="1"/>
  <c r="S149" i="1" s="1"/>
  <c r="G150" i="1"/>
  <c r="H150" i="1" s="1"/>
  <c r="J150" i="1"/>
  <c r="P150" i="1"/>
  <c r="Q150" i="1" s="1"/>
  <c r="I151" i="1" l="1"/>
  <c r="R150" i="1"/>
  <c r="S150" i="1" s="1"/>
  <c r="G151" i="1"/>
  <c r="K151" i="1"/>
  <c r="L151" i="1" s="1"/>
  <c r="N151" i="1"/>
  <c r="O151" i="1" s="1"/>
  <c r="P151" i="1" l="1"/>
  <c r="Q151" i="1" s="1"/>
  <c r="H151" i="1"/>
  <c r="J151" i="1"/>
  <c r="M152" i="1"/>
  <c r="K152" i="1" l="1"/>
  <c r="L152" i="1" s="1"/>
  <c r="M153" i="1" s="1"/>
  <c r="G152" i="1"/>
  <c r="N152" i="1"/>
  <c r="O152" i="1" s="1"/>
  <c r="I152" i="1"/>
  <c r="R151" i="1"/>
  <c r="S151" i="1" s="1"/>
  <c r="J152" i="1" l="1"/>
  <c r="P152" i="1"/>
  <c r="Q152" i="1" s="1"/>
  <c r="H152" i="1"/>
  <c r="R152" i="1" l="1"/>
  <c r="S152" i="1" s="1"/>
  <c r="I153" i="1"/>
  <c r="G153" i="1"/>
  <c r="N153" i="1"/>
  <c r="O153" i="1" s="1"/>
  <c r="K153" i="1"/>
  <c r="L153" i="1" s="1"/>
  <c r="M154" i="1" s="1"/>
  <c r="J153" i="1" l="1"/>
  <c r="P153" i="1"/>
  <c r="Q153" i="1" s="1"/>
  <c r="H153" i="1"/>
  <c r="I154" i="1" l="1"/>
  <c r="R153" i="1"/>
  <c r="S153" i="1" s="1"/>
  <c r="G154" i="1"/>
  <c r="K154" i="1"/>
  <c r="L154" i="1" s="1"/>
  <c r="M155" i="1" s="1"/>
  <c r="N154" i="1"/>
  <c r="O154" i="1" s="1"/>
  <c r="P154" i="1" l="1"/>
  <c r="Q154" i="1" s="1"/>
  <c r="H154" i="1"/>
  <c r="J154" i="1"/>
  <c r="I155" i="1" l="1"/>
  <c r="R154" i="1"/>
  <c r="S154" i="1" s="1"/>
  <c r="G155" i="1"/>
  <c r="P155" i="1" s="1"/>
  <c r="K155" i="1"/>
  <c r="L155" i="1" s="1"/>
  <c r="M156" i="1" s="1"/>
  <c r="N155" i="1"/>
  <c r="O155" i="1" s="1"/>
  <c r="Q155" i="1" l="1"/>
  <c r="H155" i="1"/>
  <c r="J155" i="1"/>
  <c r="R155" i="1" l="1"/>
  <c r="S155" i="1" s="1"/>
  <c r="I156" i="1"/>
  <c r="N156" i="1"/>
  <c r="O156" i="1" s="1"/>
  <c r="G156" i="1"/>
  <c r="K156" i="1"/>
  <c r="L156" i="1" s="1"/>
  <c r="M157" i="1" s="1"/>
  <c r="J156" i="1" l="1"/>
  <c r="P156" i="1"/>
  <c r="Q156" i="1" s="1"/>
  <c r="H156" i="1"/>
  <c r="G157" i="1" l="1"/>
  <c r="P157" i="1" s="1"/>
  <c r="K157" i="1"/>
  <c r="L157" i="1" s="1"/>
  <c r="M158" i="1" s="1"/>
  <c r="N157" i="1"/>
  <c r="O157" i="1" s="1"/>
  <c r="R156" i="1"/>
  <c r="S156" i="1" s="1"/>
  <c r="I157" i="1"/>
  <c r="J157" i="1" s="1"/>
  <c r="G158" i="1" s="1"/>
  <c r="Q157" i="1" l="1"/>
  <c r="N158" i="1"/>
  <c r="O158" i="1" s="1"/>
  <c r="K158" i="1"/>
  <c r="L158" i="1" s="1"/>
  <c r="M159" i="1" s="1"/>
  <c r="H157" i="1"/>
  <c r="P158" i="1"/>
  <c r="Q158" i="1" s="1"/>
  <c r="R157" i="1" l="1"/>
  <c r="S157" i="1" s="1"/>
  <c r="I158" i="1"/>
  <c r="H158" i="1" l="1"/>
  <c r="J158" i="1"/>
  <c r="K159" i="1" l="1"/>
  <c r="L159" i="1" s="1"/>
  <c r="M160" i="1" s="1"/>
  <c r="N159" i="1"/>
  <c r="O159" i="1" s="1"/>
  <c r="G159" i="1"/>
  <c r="I159" i="1"/>
  <c r="R158" i="1"/>
  <c r="S158" i="1" s="1"/>
  <c r="J159" i="1" l="1"/>
  <c r="G160" i="1" s="1"/>
  <c r="P160" i="1" s="1"/>
  <c r="H159" i="1"/>
  <c r="P159" i="1"/>
  <c r="Q159" i="1" s="1"/>
  <c r="K160" i="1" l="1"/>
  <c r="L160" i="1" s="1"/>
  <c r="M161" i="1" s="1"/>
  <c r="N160" i="1"/>
  <c r="O160" i="1" s="1"/>
  <c r="Q160" i="1" s="1"/>
  <c r="R159" i="1"/>
  <c r="S159" i="1" s="1"/>
  <c r="I160" i="1"/>
  <c r="J160" i="1" l="1"/>
  <c r="G161" i="1" s="1"/>
  <c r="P161" i="1" s="1"/>
  <c r="H160" i="1"/>
  <c r="K161" i="1" l="1"/>
  <c r="L161" i="1" s="1"/>
  <c r="M162" i="1" s="1"/>
  <c r="N161" i="1"/>
  <c r="O161" i="1" s="1"/>
  <c r="Q161" i="1" s="1"/>
  <c r="I161" i="1"/>
  <c r="R160" i="1"/>
  <c r="S160" i="1" s="1"/>
  <c r="J161" i="1" l="1"/>
  <c r="H161" i="1"/>
  <c r="I162" i="1" s="1"/>
  <c r="G162" i="1"/>
  <c r="P162" i="1" s="1"/>
  <c r="K162" i="1"/>
  <c r="L162" i="1" s="1"/>
  <c r="M163" i="1" s="1"/>
  <c r="N162" i="1"/>
  <c r="O162" i="1" s="1"/>
  <c r="R161" i="1" l="1"/>
  <c r="S161" i="1" s="1"/>
  <c r="Q162" i="1"/>
  <c r="H162" i="1"/>
  <c r="J162" i="1"/>
  <c r="G163" i="1" l="1"/>
  <c r="P163" i="1" s="1"/>
  <c r="K163" i="1"/>
  <c r="L163" i="1" s="1"/>
  <c r="M164" i="1" s="1"/>
  <c r="N163" i="1"/>
  <c r="O163" i="1" s="1"/>
  <c r="I163" i="1"/>
  <c r="R162" i="1"/>
  <c r="S162" i="1" s="1"/>
  <c r="H163" i="1" l="1"/>
  <c r="J163" i="1"/>
  <c r="K164" i="1" s="1"/>
  <c r="L164" i="1" s="1"/>
  <c r="M165" i="1" s="1"/>
  <c r="Q163" i="1"/>
  <c r="G164" i="1" l="1"/>
  <c r="P164" i="1" s="1"/>
  <c r="N164" i="1"/>
  <c r="O164" i="1" s="1"/>
  <c r="R163" i="1"/>
  <c r="I164" i="1"/>
  <c r="J164" i="1" s="1"/>
  <c r="K165" i="1" s="1"/>
  <c r="L165" i="1" s="1"/>
  <c r="M166" i="1" s="1"/>
  <c r="S163" i="1"/>
  <c r="Q164" i="1" l="1"/>
  <c r="H164" i="1"/>
  <c r="I165" i="1" s="1"/>
  <c r="G165" i="1"/>
  <c r="P165" i="1" s="1"/>
  <c r="N165" i="1"/>
  <c r="O165" i="1" s="1"/>
  <c r="R164" i="1"/>
  <c r="S164" i="1" s="1"/>
  <c r="Q165" i="1" l="1"/>
  <c r="J165" i="1"/>
  <c r="H165" i="1"/>
  <c r="R165" i="1" l="1"/>
  <c r="S165" i="1" s="1"/>
  <c r="I166" i="1"/>
  <c r="N166" i="1"/>
  <c r="O166" i="1" s="1"/>
  <c r="G166" i="1"/>
  <c r="P166" i="1" s="1"/>
  <c r="K166" i="1"/>
  <c r="L166" i="1" s="1"/>
  <c r="M167" i="1" s="1"/>
  <c r="Q166" i="1" l="1"/>
  <c r="H166" i="1"/>
  <c r="J166" i="1"/>
  <c r="N167" i="1" l="1"/>
  <c r="O167" i="1" s="1"/>
  <c r="G167" i="1"/>
  <c r="K167" i="1"/>
  <c r="L167" i="1" s="1"/>
  <c r="M168" i="1" s="1"/>
  <c r="R166" i="1"/>
  <c r="S166" i="1" s="1"/>
  <c r="I167" i="1"/>
  <c r="J167" i="1" s="1"/>
  <c r="P167" i="1" l="1"/>
  <c r="Q167" i="1" s="1"/>
  <c r="H167" i="1"/>
  <c r="G168" i="1"/>
  <c r="P168" i="1" s="1"/>
  <c r="K168" i="1"/>
  <c r="L168" i="1" s="1"/>
  <c r="M169" i="1" s="1"/>
  <c r="N168" i="1"/>
  <c r="O168" i="1" s="1"/>
  <c r="Q168" i="1" l="1"/>
  <c r="I168" i="1"/>
  <c r="J168" i="1" s="1"/>
  <c r="R167" i="1"/>
  <c r="S167" i="1" s="1"/>
  <c r="H168" i="1"/>
  <c r="I169" i="1" l="1"/>
  <c r="R168" i="1"/>
  <c r="S168" i="1" s="1"/>
  <c r="K169" i="1"/>
  <c r="L169" i="1" s="1"/>
  <c r="M170" i="1" s="1"/>
  <c r="N169" i="1"/>
  <c r="O169" i="1" s="1"/>
  <c r="G169" i="1"/>
  <c r="P169" i="1" l="1"/>
  <c r="Q169" i="1" s="1"/>
  <c r="H169" i="1"/>
  <c r="J169" i="1"/>
  <c r="G170" i="1" l="1"/>
  <c r="P170" i="1" s="1"/>
  <c r="N170" i="1"/>
  <c r="O170" i="1" s="1"/>
  <c r="K170" i="1"/>
  <c r="L170" i="1" s="1"/>
  <c r="M171" i="1" s="1"/>
  <c r="I170" i="1"/>
  <c r="R169" i="1"/>
  <c r="S169" i="1" s="1"/>
  <c r="H170" i="1" l="1"/>
  <c r="I171" i="1" s="1"/>
  <c r="J170" i="1"/>
  <c r="K171" i="1" s="1"/>
  <c r="L171" i="1" s="1"/>
  <c r="M172" i="1" s="1"/>
  <c r="G171" i="1"/>
  <c r="P171" i="1" s="1"/>
  <c r="Q170" i="1"/>
  <c r="N171" i="1" l="1"/>
  <c r="O171" i="1" s="1"/>
  <c r="Q171" i="1" s="1"/>
  <c r="H171" i="1"/>
  <c r="I172" i="1" s="1"/>
  <c r="R170" i="1"/>
  <c r="S170" i="1" s="1"/>
  <c r="J171" i="1" l="1"/>
  <c r="K172" i="1"/>
  <c r="G172" i="1"/>
  <c r="N172" i="1"/>
  <c r="O172" i="1" s="1"/>
  <c r="R171" i="1"/>
  <c r="S171" i="1" s="1"/>
  <c r="L172" i="1" l="1"/>
  <c r="M173" i="1" s="1"/>
  <c r="J172" i="1"/>
  <c r="H172" i="1"/>
  <c r="P172" i="1"/>
  <c r="Q172" i="1" s="1"/>
  <c r="I173" i="1" l="1"/>
  <c r="R172" i="1"/>
  <c r="S172" i="1" s="1"/>
  <c r="K173" i="1"/>
  <c r="L173" i="1" s="1"/>
  <c r="M174" i="1" s="1"/>
  <c r="N173" i="1"/>
  <c r="O173" i="1" s="1"/>
  <c r="G173" i="1"/>
  <c r="J173" i="1" l="1"/>
  <c r="K174" i="1" s="1"/>
  <c r="L174" i="1" s="1"/>
  <c r="M175" i="1" s="1"/>
  <c r="P173" i="1"/>
  <c r="Q173" i="1" s="1"/>
  <c r="H173" i="1"/>
  <c r="N174" i="1" l="1"/>
  <c r="O174" i="1" s="1"/>
  <c r="G174" i="1"/>
  <c r="P174" i="1" s="1"/>
  <c r="I174" i="1"/>
  <c r="J174" i="1" s="1"/>
  <c r="R173" i="1"/>
  <c r="S173" i="1" s="1"/>
  <c r="K175" i="1"/>
  <c r="L175" i="1" s="1"/>
  <c r="M176" i="1" s="1"/>
  <c r="Q174" i="1" l="1"/>
  <c r="G175" i="1"/>
  <c r="P175" i="1" s="1"/>
  <c r="Q175" i="1" s="1"/>
  <c r="N175" i="1"/>
  <c r="O175" i="1" s="1"/>
  <c r="H174" i="1"/>
  <c r="I175" i="1" s="1"/>
  <c r="J175" i="1" s="1"/>
  <c r="H175" i="1"/>
  <c r="R174" i="1" l="1"/>
  <c r="S174" i="1" s="1"/>
  <c r="I176" i="1"/>
  <c r="R175" i="1"/>
  <c r="S175" i="1" s="1"/>
  <c r="G176" i="1"/>
  <c r="N176" i="1"/>
  <c r="O176" i="1" s="1"/>
  <c r="K176" i="1"/>
  <c r="L176" i="1" s="1"/>
  <c r="M177" i="1" s="1"/>
  <c r="P176" i="1" l="1"/>
  <c r="Q176" i="1" s="1"/>
  <c r="H176" i="1"/>
  <c r="J176" i="1"/>
  <c r="R176" i="1" l="1"/>
  <c r="S176" i="1" s="1"/>
  <c r="I177" i="1"/>
  <c r="G177" i="1"/>
  <c r="P177" i="1" s="1"/>
  <c r="N177" i="1"/>
  <c r="O177" i="1" s="1"/>
  <c r="K177" i="1"/>
  <c r="L177" i="1" s="1"/>
  <c r="M178" i="1" s="1"/>
  <c r="Q177" i="1" l="1"/>
  <c r="H177" i="1"/>
  <c r="J177" i="1"/>
  <c r="K178" i="1" l="1"/>
  <c r="L178" i="1" s="1"/>
  <c r="M179" i="1" s="1"/>
  <c r="N178" i="1"/>
  <c r="O178" i="1" s="1"/>
  <c r="G178" i="1"/>
  <c r="I178" i="1"/>
  <c r="R177" i="1"/>
  <c r="S177" i="1" s="1"/>
  <c r="J178" i="1" l="1"/>
  <c r="N179" i="1" s="1"/>
  <c r="O179" i="1" s="1"/>
  <c r="H178" i="1"/>
  <c r="I179" i="1" s="1"/>
  <c r="P178" i="1"/>
  <c r="Q178" i="1" s="1"/>
  <c r="K179" i="1" l="1"/>
  <c r="L179" i="1" s="1"/>
  <c r="M180" i="1" s="1"/>
  <c r="G179" i="1"/>
  <c r="P179" i="1" s="1"/>
  <c r="Q179" i="1" s="1"/>
  <c r="J179" i="1"/>
  <c r="G180" i="1" s="1"/>
  <c r="H179" i="1"/>
  <c r="I180" i="1" s="1"/>
  <c r="R178" i="1"/>
  <c r="S178" i="1" s="1"/>
  <c r="K180" i="1" l="1"/>
  <c r="L180" i="1" s="1"/>
  <c r="M181" i="1" s="1"/>
  <c r="N180" i="1"/>
  <c r="O180" i="1" s="1"/>
  <c r="R179" i="1"/>
  <c r="S179" i="1" s="1"/>
  <c r="P180" i="1"/>
  <c r="Q180" i="1" s="1"/>
  <c r="H180" i="1"/>
  <c r="J180" i="1" l="1"/>
  <c r="G181" i="1" s="1"/>
  <c r="I181" i="1"/>
  <c r="R180" i="1"/>
  <c r="S180" i="1" s="1"/>
  <c r="K181" i="1" l="1"/>
  <c r="L181" i="1" s="1"/>
  <c r="M182" i="1" s="1"/>
  <c r="N181" i="1"/>
  <c r="O181" i="1" s="1"/>
  <c r="P181" i="1"/>
  <c r="H181" i="1"/>
  <c r="J181" i="1" l="1"/>
  <c r="R181" i="1" s="1"/>
  <c r="S181" i="1" s="1"/>
  <c r="Q181" i="1"/>
  <c r="I182" i="1"/>
  <c r="N182" i="1" l="1"/>
  <c r="O182" i="1" s="1"/>
  <c r="K182" i="1"/>
  <c r="L182" i="1" s="1"/>
  <c r="M183" i="1" s="1"/>
  <c r="G182" i="1"/>
  <c r="P182" i="1" s="1"/>
  <c r="Q182" i="1" s="1"/>
  <c r="J182" i="1" l="1"/>
  <c r="N183" i="1" s="1"/>
  <c r="O183" i="1" s="1"/>
  <c r="H182" i="1"/>
  <c r="G183" i="1"/>
  <c r="P183" i="1" s="1"/>
  <c r="Q183" i="1" s="1"/>
  <c r="K183" i="1" l="1"/>
  <c r="L183" i="1" s="1"/>
  <c r="M184" i="1" s="1"/>
  <c r="R182" i="1"/>
  <c r="S182" i="1" s="1"/>
  <c r="I183" i="1"/>
  <c r="H183" i="1" s="1"/>
  <c r="I184" i="1" s="1"/>
  <c r="J183" i="1" l="1"/>
  <c r="K184" i="1" s="1"/>
  <c r="L184" i="1" s="1"/>
  <c r="M185" i="1" s="1"/>
  <c r="N184" i="1"/>
  <c r="O184" i="1" s="1"/>
  <c r="R183" i="1" l="1"/>
  <c r="S183" i="1" s="1"/>
  <c r="G184" i="1"/>
  <c r="P184" i="1" s="1"/>
  <c r="Q184" i="1" s="1"/>
  <c r="J184" i="1"/>
  <c r="R184" i="1" l="1"/>
  <c r="H184" i="1"/>
  <c r="I185" i="1" s="1"/>
  <c r="S184" i="1"/>
  <c r="K185" i="1"/>
  <c r="N185" i="1"/>
  <c r="O185" i="1" s="1"/>
  <c r="G185" i="1"/>
  <c r="H185" i="1" l="1"/>
  <c r="P185" i="1"/>
  <c r="Q185" i="1" s="1"/>
  <c r="J185" i="1"/>
  <c r="L185" i="1"/>
  <c r="M186" i="1" s="1"/>
  <c r="K186" i="1" l="1"/>
  <c r="L186" i="1" s="1"/>
  <c r="M187" i="1" s="1"/>
  <c r="G186" i="1"/>
  <c r="N186" i="1"/>
  <c r="O186" i="1" s="1"/>
  <c r="I186" i="1"/>
  <c r="R185" i="1"/>
  <c r="S185" i="1" s="1"/>
  <c r="J186" i="1" l="1"/>
  <c r="H186" i="1"/>
  <c r="P186" i="1"/>
  <c r="Q186" i="1" s="1"/>
  <c r="N187" i="1" l="1"/>
  <c r="O187" i="1" s="1"/>
  <c r="G187" i="1"/>
  <c r="K187" i="1"/>
  <c r="L187" i="1" s="1"/>
  <c r="M188" i="1" s="1"/>
  <c r="I187" i="1"/>
  <c r="R186" i="1"/>
  <c r="S186" i="1" s="1"/>
  <c r="J187" i="1" l="1"/>
  <c r="P187" i="1"/>
  <c r="Q187" i="1" s="1"/>
  <c r="H187" i="1"/>
  <c r="R187" i="1" l="1"/>
  <c r="S187" i="1" s="1"/>
  <c r="I188" i="1"/>
  <c r="N188" i="1"/>
  <c r="O188" i="1" s="1"/>
  <c r="K188" i="1"/>
  <c r="L188" i="1" s="1"/>
  <c r="M189" i="1" s="1"/>
  <c r="G188" i="1"/>
  <c r="H188" i="1" l="1"/>
  <c r="I189" i="1" s="1"/>
  <c r="P188" i="1"/>
  <c r="Q188" i="1" s="1"/>
  <c r="J188" i="1"/>
  <c r="G189" i="1" l="1"/>
  <c r="H189" i="1" s="1"/>
  <c r="K189" i="1"/>
  <c r="L189" i="1" s="1"/>
  <c r="M190" i="1" s="1"/>
  <c r="N189" i="1"/>
  <c r="O189" i="1" s="1"/>
  <c r="R188" i="1"/>
  <c r="S188" i="1" s="1"/>
  <c r="I190" i="1" l="1"/>
  <c r="P189" i="1"/>
  <c r="Q189" i="1" s="1"/>
  <c r="J189" i="1"/>
  <c r="R189" i="1" l="1"/>
  <c r="S189" i="1" s="1"/>
  <c r="K190" i="1"/>
  <c r="L190" i="1" s="1"/>
  <c r="M191" i="1" s="1"/>
  <c r="G190" i="1"/>
  <c r="N190" i="1"/>
  <c r="O190" i="1" s="1"/>
  <c r="J190" i="1" l="1"/>
  <c r="K191" i="1" s="1"/>
  <c r="L191" i="1" s="1"/>
  <c r="M192" i="1" s="1"/>
  <c r="H190" i="1"/>
  <c r="P190" i="1"/>
  <c r="Q190" i="1" s="1"/>
  <c r="G191" i="1" l="1"/>
  <c r="P191" i="1" s="1"/>
  <c r="N191" i="1"/>
  <c r="O191" i="1" s="1"/>
  <c r="I191" i="1"/>
  <c r="R190" i="1"/>
  <c r="S190" i="1" s="1"/>
  <c r="H191" i="1"/>
  <c r="J191" i="1" l="1"/>
  <c r="R191" i="1" s="1"/>
  <c r="Q191" i="1"/>
  <c r="I192" i="1"/>
  <c r="K192" i="1" l="1"/>
  <c r="L192" i="1" s="1"/>
  <c r="M193" i="1" s="1"/>
  <c r="N192" i="1"/>
  <c r="O192" i="1" s="1"/>
  <c r="G192" i="1"/>
  <c r="P192" i="1" s="1"/>
  <c r="S191" i="1"/>
  <c r="J192" i="1" l="1"/>
  <c r="N193" i="1" s="1"/>
  <c r="O193" i="1" s="1"/>
  <c r="Q192" i="1"/>
  <c r="H192" i="1"/>
  <c r="R192" i="1" s="1"/>
  <c r="S192" i="1" s="1"/>
  <c r="I193" i="1" l="1"/>
  <c r="J193" i="1" s="1"/>
  <c r="G194" i="1" s="1"/>
  <c r="K193" i="1"/>
  <c r="L193" i="1" s="1"/>
  <c r="M194" i="1" s="1"/>
  <c r="G193" i="1"/>
  <c r="P193" i="1" s="1"/>
  <c r="Q193" i="1" s="1"/>
  <c r="H193" i="1"/>
  <c r="I194" i="1" s="1"/>
  <c r="N194" i="1" l="1"/>
  <c r="O194" i="1" s="1"/>
  <c r="K194" i="1"/>
  <c r="L194" i="1" s="1"/>
  <c r="M195" i="1" s="1"/>
  <c r="R193" i="1"/>
  <c r="S193" i="1" s="1"/>
  <c r="H194" i="1"/>
  <c r="P194" i="1"/>
  <c r="Q194" i="1" s="1"/>
  <c r="J194" i="1" l="1"/>
  <c r="G195" i="1" s="1"/>
  <c r="P195" i="1" s="1"/>
  <c r="I195" i="1"/>
  <c r="N195" i="1" l="1"/>
  <c r="O195" i="1" s="1"/>
  <c r="Q195" i="1" s="1"/>
  <c r="R194" i="1"/>
  <c r="S194" i="1" s="1"/>
  <c r="K195" i="1"/>
  <c r="L195" i="1" s="1"/>
  <c r="M196" i="1" s="1"/>
  <c r="H195" i="1"/>
  <c r="J195" i="1" l="1"/>
  <c r="K196" i="1" s="1"/>
  <c r="L196" i="1" s="1"/>
  <c r="M197" i="1" s="1"/>
  <c r="I196" i="1"/>
  <c r="N196" i="1" l="1"/>
  <c r="O196" i="1" s="1"/>
  <c r="R195" i="1"/>
  <c r="S195" i="1" s="1"/>
  <c r="G196" i="1"/>
  <c r="P196" i="1" s="1"/>
  <c r="Q196" i="1" s="1"/>
  <c r="J196" i="1" l="1"/>
  <c r="G197" i="1" s="1"/>
  <c r="P197" i="1" s="1"/>
  <c r="H196" i="1"/>
  <c r="I197" i="1" s="1"/>
  <c r="R196" i="1" l="1"/>
  <c r="S196" i="1" s="1"/>
  <c r="K197" i="1"/>
  <c r="L197" i="1" s="1"/>
  <c r="M198" i="1" s="1"/>
  <c r="N197" i="1"/>
  <c r="O197" i="1" s="1"/>
  <c r="Q197" i="1" s="1"/>
  <c r="H197" i="1"/>
  <c r="I198" i="1" s="1"/>
  <c r="J197" i="1" l="1"/>
  <c r="R197" i="1" s="1"/>
  <c r="S197" i="1" s="1"/>
  <c r="N198" i="1" l="1"/>
  <c r="O198" i="1" s="1"/>
  <c r="G198" i="1"/>
  <c r="P198" i="1" s="1"/>
  <c r="Q198" i="1" s="1"/>
  <c r="K198" i="1"/>
  <c r="L198" i="1" s="1"/>
  <c r="M199" i="1" s="1"/>
  <c r="J198" i="1"/>
  <c r="N199" i="1" s="1"/>
  <c r="O199" i="1" s="1"/>
  <c r="H198" i="1"/>
  <c r="I199" i="1" s="1"/>
  <c r="G199" i="1" l="1"/>
  <c r="P199" i="1" s="1"/>
  <c r="Q199" i="1" s="1"/>
  <c r="K199" i="1"/>
  <c r="L199" i="1" s="1"/>
  <c r="M200" i="1" s="1"/>
  <c r="R198" i="1"/>
  <c r="S198" i="1" s="1"/>
  <c r="J199" i="1"/>
  <c r="G200" i="1" s="1"/>
  <c r="H199" i="1"/>
  <c r="I200" i="1" s="1"/>
  <c r="N200" i="1"/>
  <c r="O200" i="1" s="1"/>
  <c r="P200" i="1" l="1"/>
  <c r="Q200" i="1" s="1"/>
  <c r="K200" i="1"/>
  <c r="L200" i="1" s="1"/>
  <c r="M201" i="1" s="1"/>
  <c r="R199" i="1"/>
  <c r="S199" i="1" s="1"/>
  <c r="H200" i="1"/>
  <c r="J200" i="1" l="1"/>
  <c r="I201" i="1"/>
  <c r="N201" i="1" l="1"/>
  <c r="O201" i="1" s="1"/>
  <c r="G201" i="1"/>
  <c r="P201" i="1" s="1"/>
  <c r="R200" i="1"/>
  <c r="S200" i="1" s="1"/>
  <c r="K201" i="1"/>
  <c r="L201" i="1" s="1"/>
  <c r="M202" i="1" s="1"/>
  <c r="H201" i="1" l="1"/>
  <c r="I202" i="1" s="1"/>
  <c r="Q201" i="1"/>
  <c r="J201" i="1"/>
  <c r="G202" i="1" s="1"/>
  <c r="P202" i="1" s="1"/>
  <c r="K202" i="1" l="1"/>
  <c r="L202" i="1" s="1"/>
  <c r="M203" i="1" s="1"/>
  <c r="R201" i="1"/>
  <c r="S201" i="1" s="1"/>
  <c r="N202" i="1"/>
  <c r="O202" i="1" s="1"/>
  <c r="Q202" i="1" s="1"/>
  <c r="H202" i="1"/>
  <c r="J202" i="1" l="1"/>
  <c r="K203" i="1" s="1"/>
  <c r="L203" i="1" s="1"/>
  <c r="M204" i="1" s="1"/>
  <c r="I203" i="1"/>
  <c r="R202" i="1" l="1"/>
  <c r="S202" i="1" s="1"/>
  <c r="G203" i="1"/>
  <c r="P203" i="1" s="1"/>
  <c r="N203" i="1"/>
  <c r="O203" i="1" s="1"/>
  <c r="H203" i="1"/>
  <c r="Q203" i="1" l="1"/>
  <c r="J203" i="1"/>
  <c r="R203" i="1" s="1"/>
  <c r="I204" i="1"/>
  <c r="S203" i="1" l="1"/>
  <c r="K204" i="1"/>
  <c r="L204" i="1" s="1"/>
  <c r="M205" i="1" s="1"/>
  <c r="N204" i="1"/>
  <c r="O204" i="1" s="1"/>
  <c r="G204" i="1"/>
  <c r="P204" i="1" s="1"/>
  <c r="J204" i="1" l="1"/>
  <c r="K205" i="1" s="1"/>
  <c r="L205" i="1" s="1"/>
  <c r="M206" i="1" s="1"/>
  <c r="Q204" i="1"/>
  <c r="H204" i="1"/>
  <c r="I205" i="1" s="1"/>
  <c r="G205" i="1" l="1"/>
  <c r="P205" i="1" s="1"/>
  <c r="N205" i="1"/>
  <c r="O205" i="1" s="1"/>
  <c r="R204" i="1"/>
  <c r="S204" i="1" s="1"/>
  <c r="Q205" i="1" l="1"/>
  <c r="H205" i="1"/>
  <c r="I206" i="1" s="1"/>
  <c r="J205" i="1"/>
  <c r="N206" i="1" s="1"/>
  <c r="O206" i="1" s="1"/>
  <c r="K206" i="1" l="1"/>
  <c r="L206" i="1" s="1"/>
  <c r="M207" i="1" s="1"/>
  <c r="G206" i="1"/>
  <c r="P206" i="1" s="1"/>
  <c r="Q206" i="1" s="1"/>
  <c r="R205" i="1"/>
  <c r="S205" i="1" s="1"/>
  <c r="H206" i="1"/>
  <c r="J206" i="1"/>
  <c r="N207" i="1" l="1"/>
  <c r="O207" i="1" s="1"/>
  <c r="G207" i="1"/>
  <c r="K207" i="1"/>
  <c r="L207" i="1" s="1"/>
  <c r="M208" i="1" s="1"/>
  <c r="I207" i="1"/>
  <c r="R206" i="1"/>
  <c r="S206" i="1" s="1"/>
  <c r="J207" i="1" l="1"/>
  <c r="H207" i="1"/>
  <c r="P207" i="1"/>
  <c r="Q207" i="1" s="1"/>
  <c r="K208" i="1" l="1"/>
  <c r="L208" i="1" s="1"/>
  <c r="M209" i="1" s="1"/>
  <c r="N208" i="1"/>
  <c r="O208" i="1" s="1"/>
  <c r="G208" i="1"/>
  <c r="R207" i="1"/>
  <c r="S207" i="1" s="1"/>
  <c r="I208" i="1"/>
  <c r="J208" i="1" l="1"/>
  <c r="N209" i="1" s="1"/>
  <c r="O209" i="1" s="1"/>
  <c r="P208" i="1"/>
  <c r="Q208" i="1" s="1"/>
  <c r="H208" i="1"/>
  <c r="G209" i="1" l="1"/>
  <c r="P209" i="1" s="1"/>
  <c r="Q209" i="1" s="1"/>
  <c r="K209" i="1"/>
  <c r="L209" i="1" s="1"/>
  <c r="M210" i="1" s="1"/>
  <c r="I209" i="1"/>
  <c r="R208" i="1"/>
  <c r="S208" i="1" s="1"/>
  <c r="J209" i="1" l="1"/>
  <c r="H209" i="1"/>
  <c r="K210" i="1" l="1"/>
  <c r="L210" i="1" s="1"/>
  <c r="M211" i="1" s="1"/>
  <c r="G210" i="1"/>
  <c r="N210" i="1"/>
  <c r="O210" i="1" s="1"/>
  <c r="R209" i="1"/>
  <c r="S209" i="1" s="1"/>
  <c r="I210" i="1"/>
  <c r="J210" i="1" l="1"/>
  <c r="G211" i="1" s="1"/>
  <c r="P211" i="1" s="1"/>
  <c r="H210" i="1"/>
  <c r="P210" i="1"/>
  <c r="Q210" i="1" s="1"/>
  <c r="K211" i="1" l="1"/>
  <c r="L211" i="1" s="1"/>
  <c r="M212" i="1" s="1"/>
  <c r="N211" i="1"/>
  <c r="O211" i="1" s="1"/>
  <c r="Q211" i="1" s="1"/>
  <c r="I211" i="1"/>
  <c r="R210" i="1"/>
  <c r="S210" i="1" s="1"/>
  <c r="H211" i="1" l="1"/>
  <c r="J211" i="1"/>
  <c r="R211" i="1" l="1"/>
  <c r="S211" i="1" s="1"/>
  <c r="I212" i="1"/>
  <c r="G212" i="1"/>
  <c r="P212" i="1" s="1"/>
  <c r="N212" i="1"/>
  <c r="O212" i="1" s="1"/>
  <c r="K212" i="1"/>
  <c r="L212" i="1" s="1"/>
  <c r="M213" i="1" s="1"/>
  <c r="H212" i="1" l="1"/>
  <c r="I213" i="1" s="1"/>
  <c r="Q212" i="1"/>
  <c r="J212" i="1"/>
  <c r="N213" i="1" l="1"/>
  <c r="O213" i="1" s="1"/>
  <c r="K213" i="1"/>
  <c r="L213" i="1" s="1"/>
  <c r="M214" i="1" s="1"/>
  <c r="R212" i="1"/>
  <c r="S212" i="1" s="1"/>
  <c r="G213" i="1"/>
  <c r="P213" i="1" l="1"/>
  <c r="Q213" i="1" s="1"/>
  <c r="H213" i="1"/>
  <c r="J213" i="1"/>
  <c r="N214" i="1" l="1"/>
  <c r="O214" i="1" s="1"/>
  <c r="K214" i="1"/>
  <c r="L214" i="1" s="1"/>
  <c r="M215" i="1" s="1"/>
  <c r="G214" i="1"/>
  <c r="I214" i="1"/>
  <c r="R213" i="1"/>
  <c r="S213" i="1" s="1"/>
  <c r="P214" i="1" l="1"/>
  <c r="Q214" i="1" s="1"/>
  <c r="H214" i="1"/>
  <c r="J214" i="1"/>
  <c r="R214" i="1" l="1"/>
  <c r="S214" i="1" s="1"/>
  <c r="I215" i="1"/>
  <c r="K215" i="1"/>
  <c r="L215" i="1" s="1"/>
  <c r="M216" i="1" s="1"/>
  <c r="N215" i="1"/>
  <c r="O215" i="1" s="1"/>
  <c r="G215" i="1"/>
  <c r="P215" i="1" s="1"/>
  <c r="J215" i="1" l="1"/>
  <c r="G216" i="1" s="1"/>
  <c r="H215" i="1"/>
  <c r="I216" i="1" s="1"/>
  <c r="Q215" i="1"/>
  <c r="K216" i="1" l="1"/>
  <c r="L216" i="1" s="1"/>
  <c r="M217" i="1" s="1"/>
  <c r="R215" i="1"/>
  <c r="S215" i="1" s="1"/>
  <c r="N216" i="1"/>
  <c r="O216" i="1" s="1"/>
  <c r="P216" i="1"/>
  <c r="H216" i="1"/>
  <c r="Q216" i="1" l="1"/>
  <c r="J216" i="1"/>
  <c r="I217" i="1"/>
  <c r="R216" i="1"/>
  <c r="S216" i="1" l="1"/>
  <c r="N217" i="1"/>
  <c r="O217" i="1" s="1"/>
  <c r="G217" i="1"/>
  <c r="P217" i="1" s="1"/>
  <c r="K217" i="1"/>
  <c r="L217" i="1" s="1"/>
  <c r="M218" i="1" s="1"/>
  <c r="J217" i="1" l="1"/>
  <c r="G218" i="1" s="1"/>
  <c r="P218" i="1" s="1"/>
  <c r="Q217" i="1"/>
  <c r="H217" i="1"/>
  <c r="R217" i="1" l="1"/>
  <c r="S217" i="1" s="1"/>
  <c r="I218" i="1"/>
  <c r="H218" i="1" s="1"/>
  <c r="I219" i="1" s="1"/>
  <c r="N218" i="1"/>
  <c r="O218" i="1" s="1"/>
  <c r="Q218" i="1" s="1"/>
  <c r="K218" i="1"/>
  <c r="L218" i="1" s="1"/>
  <c r="M219" i="1" s="1"/>
  <c r="J218" i="1" l="1"/>
  <c r="N219" i="1" s="1"/>
  <c r="O219" i="1" s="1"/>
  <c r="R218" i="1" l="1"/>
  <c r="S218" i="1" s="1"/>
  <c r="G219" i="1"/>
  <c r="H219" i="1" s="1"/>
  <c r="K219" i="1"/>
  <c r="L219" i="1" s="1"/>
  <c r="M220" i="1" s="1"/>
  <c r="P219" i="1"/>
  <c r="Q219" i="1" s="1"/>
  <c r="J219" i="1" l="1"/>
  <c r="K220" i="1" s="1"/>
  <c r="L220" i="1" s="1"/>
  <c r="M221" i="1" s="1"/>
  <c r="I220" i="1"/>
  <c r="N220" i="1" l="1"/>
  <c r="O220" i="1" s="1"/>
  <c r="R219" i="1"/>
  <c r="S219" i="1" s="1"/>
  <c r="G220" i="1"/>
  <c r="P220" i="1" s="1"/>
  <c r="Q220" i="1" s="1"/>
  <c r="H220" i="1" l="1"/>
  <c r="I221" i="1" s="1"/>
  <c r="J220" i="1"/>
  <c r="K221" i="1" s="1"/>
  <c r="L221" i="1" s="1"/>
  <c r="M222" i="1" s="1"/>
  <c r="G221" i="1" l="1"/>
  <c r="P221" i="1" s="1"/>
  <c r="R220" i="1"/>
  <c r="S220" i="1" s="1"/>
  <c r="N221" i="1"/>
  <c r="O221" i="1" s="1"/>
  <c r="H221" i="1" l="1"/>
  <c r="I222" i="1" s="1"/>
  <c r="Q221" i="1"/>
  <c r="J221" i="1"/>
  <c r="G222" i="1" s="1"/>
  <c r="P222" i="1" s="1"/>
  <c r="K222" i="1" l="1"/>
  <c r="L222" i="1" s="1"/>
  <c r="M223" i="1" s="1"/>
  <c r="R221" i="1"/>
  <c r="S221" i="1" s="1"/>
  <c r="N222" i="1"/>
  <c r="O222" i="1" s="1"/>
  <c r="Q222" i="1" s="1"/>
  <c r="H222" i="1"/>
  <c r="J222" i="1" l="1"/>
  <c r="N223" i="1" s="1"/>
  <c r="O223" i="1" s="1"/>
  <c r="I223" i="1"/>
  <c r="R222" i="1"/>
  <c r="S222" i="1" s="1"/>
  <c r="G223" i="1" l="1"/>
  <c r="H223" i="1" s="1"/>
  <c r="K223" i="1"/>
  <c r="L223" i="1" s="1"/>
  <c r="M224" i="1" s="1"/>
  <c r="P223" i="1"/>
  <c r="Q223" i="1" s="1"/>
  <c r="J223" i="1"/>
  <c r="R223" i="1" l="1"/>
  <c r="S223" i="1" s="1"/>
  <c r="I224" i="1"/>
  <c r="N224" i="1"/>
  <c r="O224" i="1" s="1"/>
  <c r="K224" i="1"/>
  <c r="L224" i="1" s="1"/>
  <c r="M225" i="1" s="1"/>
  <c r="G224" i="1"/>
  <c r="J224" i="1" l="1"/>
  <c r="P224" i="1"/>
  <c r="Q224" i="1" s="1"/>
  <c r="H224" i="1"/>
  <c r="R224" i="1" l="1"/>
  <c r="S224" i="1" s="1"/>
  <c r="I225" i="1"/>
  <c r="K225" i="1"/>
  <c r="L225" i="1" s="1"/>
  <c r="M226" i="1" s="1"/>
  <c r="N225" i="1"/>
  <c r="O225" i="1" s="1"/>
  <c r="G225" i="1"/>
  <c r="J225" i="1" l="1"/>
  <c r="P225" i="1"/>
  <c r="Q225" i="1" s="1"/>
  <c r="H225" i="1"/>
  <c r="I226" i="1" l="1"/>
  <c r="R225" i="1"/>
  <c r="S225" i="1" s="1"/>
  <c r="G226" i="1"/>
  <c r="P226" i="1" s="1"/>
  <c r="N226" i="1"/>
  <c r="O226" i="1" s="1"/>
  <c r="K226" i="1"/>
  <c r="L226" i="1" s="1"/>
  <c r="M227" i="1" s="1"/>
  <c r="Q226" i="1" l="1"/>
  <c r="H226" i="1"/>
  <c r="J226" i="1"/>
  <c r="K227" i="1" l="1"/>
  <c r="L227" i="1" s="1"/>
  <c r="M228" i="1" s="1"/>
  <c r="G227" i="1"/>
  <c r="P227" i="1" s="1"/>
  <c r="N227" i="1"/>
  <c r="O227" i="1" s="1"/>
  <c r="I227" i="1"/>
  <c r="R226" i="1"/>
  <c r="S226" i="1" s="1"/>
  <c r="J227" i="1" l="1"/>
  <c r="N228" i="1" s="1"/>
  <c r="O228" i="1" s="1"/>
  <c r="Q227" i="1"/>
  <c r="G228" i="1"/>
  <c r="P228" i="1" s="1"/>
  <c r="H227" i="1"/>
  <c r="K228" i="1" l="1"/>
  <c r="L228" i="1" s="1"/>
  <c r="M229" i="1" s="1"/>
  <c r="I228" i="1"/>
  <c r="R227" i="1"/>
  <c r="S227" i="1" s="1"/>
  <c r="Q228" i="1"/>
  <c r="J228" i="1" l="1"/>
  <c r="G229" i="1" s="1"/>
  <c r="H228" i="1"/>
  <c r="I229" i="1" s="1"/>
  <c r="K229" i="1"/>
  <c r="L229" i="1" s="1"/>
  <c r="M230" i="1" s="1"/>
  <c r="N229" i="1" l="1"/>
  <c r="O229" i="1" s="1"/>
  <c r="R228" i="1"/>
  <c r="S228" i="1" s="1"/>
  <c r="P229" i="1"/>
  <c r="Q229" i="1" s="1"/>
  <c r="H229" i="1"/>
  <c r="J229" i="1"/>
  <c r="R229" i="1" l="1"/>
  <c r="S229" i="1" s="1"/>
  <c r="I230" i="1"/>
  <c r="G230" i="1"/>
  <c r="K230" i="1"/>
  <c r="L230" i="1" s="1"/>
  <c r="M231" i="1" s="1"/>
  <c r="N230" i="1"/>
  <c r="O230" i="1" s="1"/>
  <c r="J230" i="1" l="1"/>
  <c r="N231" i="1" s="1"/>
  <c r="O231" i="1" s="1"/>
  <c r="P230" i="1"/>
  <c r="Q230" i="1" s="1"/>
  <c r="H230" i="1"/>
  <c r="K231" i="1" l="1"/>
  <c r="L231" i="1" s="1"/>
  <c r="M232" i="1" s="1"/>
  <c r="G231" i="1"/>
  <c r="P231" i="1" s="1"/>
  <c r="Q231" i="1" s="1"/>
  <c r="I231" i="1"/>
  <c r="J231" i="1" s="1"/>
  <c r="R230" i="1"/>
  <c r="S230" i="1" s="1"/>
  <c r="H231" i="1" l="1"/>
  <c r="I232" i="1" s="1"/>
  <c r="K232" i="1"/>
  <c r="L232" i="1" s="1"/>
  <c r="M233" i="1" s="1"/>
  <c r="G232" i="1"/>
  <c r="P232" i="1" s="1"/>
  <c r="N232" i="1"/>
  <c r="O232" i="1" s="1"/>
  <c r="R231" i="1" l="1"/>
  <c r="S231" i="1" s="1"/>
  <c r="J232" i="1"/>
  <c r="Q232" i="1"/>
  <c r="H232" i="1"/>
  <c r="I233" i="1" l="1"/>
  <c r="R232" i="1"/>
  <c r="S232" i="1" s="1"/>
  <c r="N233" i="1"/>
  <c r="O233" i="1" s="1"/>
  <c r="G233" i="1"/>
  <c r="P233" i="1" s="1"/>
  <c r="K233" i="1"/>
  <c r="L233" i="1" s="1"/>
  <c r="M234" i="1" s="1"/>
  <c r="J233" i="1" l="1"/>
  <c r="K234" i="1" s="1"/>
  <c r="L234" i="1" s="1"/>
  <c r="M235" i="1" s="1"/>
  <c r="Q233" i="1"/>
  <c r="H233" i="1"/>
  <c r="N234" i="1" l="1"/>
  <c r="O234" i="1" s="1"/>
  <c r="G234" i="1"/>
  <c r="P234" i="1" s="1"/>
  <c r="R233" i="1"/>
  <c r="S233" i="1" s="1"/>
  <c r="I234" i="1"/>
  <c r="J234" i="1" l="1"/>
  <c r="K235" i="1" s="1"/>
  <c r="L235" i="1" s="1"/>
  <c r="M236" i="1" s="1"/>
  <c r="Q234" i="1"/>
  <c r="H234" i="1"/>
  <c r="I235" i="1" s="1"/>
  <c r="G235" i="1" l="1"/>
  <c r="P235" i="1" s="1"/>
  <c r="N235" i="1"/>
  <c r="O235" i="1" s="1"/>
  <c r="R234" i="1"/>
  <c r="S234" i="1" s="1"/>
  <c r="H235" i="1" l="1"/>
  <c r="I236" i="1" s="1"/>
  <c r="Q235" i="1"/>
  <c r="J235" i="1"/>
  <c r="N236" i="1" s="1"/>
  <c r="O236" i="1" s="1"/>
  <c r="R235" i="1" l="1"/>
  <c r="S235" i="1" s="1"/>
  <c r="G236" i="1"/>
  <c r="P236" i="1" s="1"/>
  <c r="Q236" i="1" s="1"/>
  <c r="K236" i="1"/>
  <c r="L236" i="1" s="1"/>
  <c r="M237" i="1" s="1"/>
  <c r="J236" i="1" l="1"/>
  <c r="G237" i="1" s="1"/>
  <c r="P237" i="1" s="1"/>
  <c r="H236" i="1"/>
  <c r="K237" i="1" l="1"/>
  <c r="L237" i="1" s="1"/>
  <c r="M238" i="1" s="1"/>
  <c r="N237" i="1"/>
  <c r="O237" i="1" s="1"/>
  <c r="R236" i="1"/>
  <c r="S236" i="1" s="1"/>
  <c r="I237" i="1"/>
  <c r="J237" i="1" s="1"/>
  <c r="K238" i="1" s="1"/>
  <c r="L238" i="1" s="1"/>
  <c r="M239" i="1" s="1"/>
  <c r="Q237" i="1"/>
  <c r="H237" i="1" l="1"/>
  <c r="I238" i="1" s="1"/>
  <c r="G238" i="1"/>
  <c r="P238" i="1" s="1"/>
  <c r="N238" i="1"/>
  <c r="O238" i="1" s="1"/>
  <c r="R237" i="1" l="1"/>
  <c r="S237" i="1" s="1"/>
  <c r="H238" i="1"/>
  <c r="Q238" i="1"/>
  <c r="J238" i="1"/>
  <c r="K239" i="1" s="1"/>
  <c r="L239" i="1" s="1"/>
  <c r="M240" i="1" s="1"/>
  <c r="I239" i="1"/>
  <c r="R238" i="1"/>
  <c r="S238" i="1" l="1"/>
  <c r="G239" i="1"/>
  <c r="P239" i="1" s="1"/>
  <c r="N239" i="1"/>
  <c r="O239" i="1" s="1"/>
  <c r="J239" i="1" l="1"/>
  <c r="K240" i="1" s="1"/>
  <c r="L240" i="1" s="1"/>
  <c r="M241" i="1" s="1"/>
  <c r="H239" i="1"/>
  <c r="I240" i="1" s="1"/>
  <c r="Q239" i="1"/>
  <c r="R239" i="1" l="1"/>
  <c r="S239" i="1" s="1"/>
  <c r="G240" i="1"/>
  <c r="P240" i="1" s="1"/>
  <c r="N240" i="1"/>
  <c r="O240" i="1" s="1"/>
  <c r="J240" i="1" l="1"/>
  <c r="N241" i="1" s="1"/>
  <c r="O241" i="1" s="1"/>
  <c r="Q240" i="1"/>
  <c r="K241" i="1"/>
  <c r="L241" i="1" s="1"/>
  <c r="M242" i="1" s="1"/>
  <c r="H240" i="1"/>
  <c r="I241" i="1" s="1"/>
  <c r="G241" i="1"/>
  <c r="H241" i="1" l="1"/>
  <c r="P241" i="1"/>
  <c r="Q241" i="1" s="1"/>
  <c r="J241" i="1"/>
  <c r="G242" i="1" s="1"/>
  <c r="R240" i="1"/>
  <c r="S240" i="1" s="1"/>
  <c r="P242" i="1"/>
  <c r="I242" i="1"/>
  <c r="H242" i="1" s="1"/>
  <c r="I243" i="1" s="1"/>
  <c r="R241" i="1" l="1"/>
  <c r="S241" i="1" s="1"/>
  <c r="N242" i="1"/>
  <c r="O242" i="1" s="1"/>
  <c r="K242" i="1"/>
  <c r="L242" i="1" s="1"/>
  <c r="M243" i="1" s="1"/>
  <c r="Q242" i="1"/>
  <c r="J242" i="1" l="1"/>
  <c r="K243" i="1" s="1"/>
  <c r="L243" i="1" s="1"/>
  <c r="M244" i="1" s="1"/>
  <c r="R242" i="1" l="1"/>
  <c r="S242" i="1" s="1"/>
  <c r="N243" i="1"/>
  <c r="O243" i="1" s="1"/>
  <c r="G243" i="1"/>
  <c r="H243" i="1" s="1"/>
  <c r="J243" i="1"/>
  <c r="N244" i="1" s="1"/>
  <c r="O244" i="1" s="1"/>
  <c r="P243" i="1"/>
  <c r="Q243" i="1" l="1"/>
  <c r="G244" i="1"/>
  <c r="P244" i="1" s="1"/>
  <c r="Q244" i="1" s="1"/>
  <c r="K244" i="1"/>
  <c r="L244" i="1" s="1"/>
  <c r="M245" i="1" s="1"/>
  <c r="I244" i="1"/>
  <c r="R243" i="1"/>
  <c r="S243" i="1" s="1"/>
  <c r="H244" i="1" l="1"/>
  <c r="I245" i="1" s="1"/>
  <c r="J244" i="1"/>
  <c r="K245" i="1" s="1"/>
  <c r="L245" i="1" s="1"/>
  <c r="M246" i="1" s="1"/>
  <c r="R244" i="1" l="1"/>
  <c r="S244" i="1" s="1"/>
  <c r="N245" i="1"/>
  <c r="G245" i="1"/>
  <c r="O245" i="1" l="1"/>
  <c r="J245" i="1"/>
  <c r="H245" i="1"/>
  <c r="P245" i="1"/>
  <c r="I246" i="1" l="1"/>
  <c r="R245" i="1"/>
  <c r="Q245" i="1"/>
  <c r="K246" i="1"/>
  <c r="L246" i="1" s="1"/>
  <c r="M247" i="1" s="1"/>
  <c r="G246" i="1"/>
  <c r="P246" i="1" s="1"/>
  <c r="N246" i="1"/>
  <c r="O246" i="1" s="1"/>
  <c r="H246" i="1" l="1"/>
  <c r="I247" i="1" s="1"/>
  <c r="Q246" i="1"/>
  <c r="S245" i="1"/>
  <c r="J246" i="1"/>
  <c r="K247" i="1" l="1"/>
  <c r="N247" i="1"/>
  <c r="O247" i="1" s="1"/>
  <c r="G247" i="1"/>
  <c r="R246" i="1"/>
  <c r="S246" i="1" s="1"/>
  <c r="P247" i="1" l="1"/>
  <c r="Q247" i="1" s="1"/>
  <c r="H247" i="1"/>
  <c r="L247" i="1"/>
  <c r="M248" i="1" s="1"/>
  <c r="J247" i="1"/>
  <c r="G248" i="1" l="1"/>
  <c r="P248" i="1" s="1"/>
  <c r="N248" i="1"/>
  <c r="O248" i="1" s="1"/>
  <c r="K248" i="1"/>
  <c r="L248" i="1" s="1"/>
  <c r="M249" i="1" s="1"/>
  <c r="I248" i="1"/>
  <c r="R247" i="1"/>
  <c r="S247" i="1" s="1"/>
  <c r="H248" i="1" l="1"/>
  <c r="R248" i="1" s="1"/>
  <c r="J248" i="1"/>
  <c r="G249" i="1" s="1"/>
  <c r="K249" i="1"/>
  <c r="L249" i="1" s="1"/>
  <c r="M250" i="1" s="1"/>
  <c r="Q248" i="1"/>
  <c r="I249" i="1" l="1"/>
  <c r="N249" i="1"/>
  <c r="O249" i="1" s="1"/>
  <c r="S248" i="1"/>
  <c r="P249" i="1"/>
  <c r="Q249" i="1" s="1"/>
  <c r="J249" i="1" l="1"/>
  <c r="G250" i="1" s="1"/>
  <c r="H249" i="1"/>
  <c r="I250" i="1" s="1"/>
  <c r="N250" i="1"/>
  <c r="O250" i="1" s="1"/>
  <c r="K250" i="1"/>
  <c r="L250" i="1" s="1"/>
  <c r="M251" i="1" s="1"/>
  <c r="R249" i="1" l="1"/>
  <c r="S249" i="1" s="1"/>
  <c r="P250" i="1"/>
  <c r="Q250" i="1" s="1"/>
  <c r="H250" i="1"/>
  <c r="J250" i="1"/>
  <c r="N251" i="1" l="1"/>
  <c r="O251" i="1" s="1"/>
  <c r="K251" i="1"/>
  <c r="L251" i="1" s="1"/>
  <c r="M252" i="1" s="1"/>
  <c r="G251" i="1"/>
  <c r="I251" i="1"/>
  <c r="R250" i="1"/>
  <c r="S250" i="1" s="1"/>
  <c r="J251" i="1" l="1"/>
  <c r="N252" i="1" s="1"/>
  <c r="O252" i="1" s="1"/>
  <c r="P251" i="1"/>
  <c r="Q251" i="1" s="1"/>
  <c r="H251" i="1"/>
  <c r="G252" i="1" l="1"/>
  <c r="P252" i="1" s="1"/>
  <c r="Q252" i="1" s="1"/>
  <c r="K252" i="1"/>
  <c r="L252" i="1" s="1"/>
  <c r="M253" i="1" s="1"/>
  <c r="R251" i="1"/>
  <c r="S251" i="1" s="1"/>
  <c r="I252" i="1"/>
  <c r="J252" i="1" s="1"/>
  <c r="G253" i="1" s="1"/>
  <c r="N253" i="1"/>
  <c r="O253" i="1" s="1"/>
  <c r="P253" i="1" l="1"/>
  <c r="Q253" i="1" s="1"/>
  <c r="K253" i="1"/>
  <c r="L253" i="1" s="1"/>
  <c r="M254" i="1" s="1"/>
  <c r="H252" i="1"/>
  <c r="R252" i="1" l="1"/>
  <c r="S252" i="1" s="1"/>
  <c r="I253" i="1"/>
  <c r="J253" i="1" s="1"/>
  <c r="K254" i="1" s="1"/>
  <c r="N254" i="1"/>
  <c r="O254" i="1" s="1"/>
  <c r="G254" i="1"/>
  <c r="P254" i="1" s="1"/>
  <c r="Q254" i="1" l="1"/>
  <c r="H253" i="1"/>
  <c r="L254" i="1"/>
  <c r="M255" i="1" s="1"/>
  <c r="I254" i="1" l="1"/>
  <c r="R253" i="1"/>
  <c r="S253" i="1" s="1"/>
  <c r="H254" i="1" l="1"/>
  <c r="J254" i="1"/>
  <c r="N255" i="1" l="1"/>
  <c r="O255" i="1" s="1"/>
  <c r="K255" i="1"/>
  <c r="L255" i="1" s="1"/>
  <c r="M256" i="1" s="1"/>
  <c r="G255" i="1"/>
  <c r="P255" i="1" s="1"/>
  <c r="Q255" i="1" s="1"/>
  <c r="I255" i="1"/>
  <c r="R254" i="1"/>
  <c r="S254" i="1" s="1"/>
  <c r="H255" i="1" l="1"/>
  <c r="I256" i="1" s="1"/>
  <c r="J255" i="1"/>
  <c r="K256" i="1" s="1"/>
  <c r="L256" i="1" s="1"/>
  <c r="M257" i="1" s="1"/>
  <c r="R255" i="1"/>
  <c r="S255" i="1" s="1"/>
  <c r="N256" i="1"/>
  <c r="O256" i="1" s="1"/>
  <c r="G256" i="1"/>
  <c r="H256" i="1" s="1"/>
  <c r="I257" i="1" s="1"/>
  <c r="P256" i="1" l="1"/>
  <c r="Q256" i="1" s="1"/>
  <c r="J256" i="1"/>
  <c r="N257" i="1" s="1"/>
  <c r="O257" i="1" s="1"/>
  <c r="K257" i="1" l="1"/>
  <c r="G257" i="1"/>
  <c r="P257" i="1" s="1"/>
  <c r="Q257" i="1" s="1"/>
  <c r="R256" i="1"/>
  <c r="S256" i="1" s="1"/>
  <c r="H257" i="1"/>
  <c r="I258" i="1" s="1"/>
  <c r="L257" i="1" l="1"/>
  <c r="M258" i="1" s="1"/>
  <c r="J257" i="1"/>
  <c r="N258" i="1" l="1"/>
  <c r="O258" i="1" s="1"/>
  <c r="G258" i="1"/>
  <c r="K258" i="1"/>
  <c r="R257" i="1"/>
  <c r="S257" i="1" s="1"/>
  <c r="L258" i="1" l="1"/>
  <c r="M259" i="1" s="1"/>
  <c r="J258" i="1"/>
  <c r="H258" i="1"/>
  <c r="P258" i="1"/>
  <c r="Q258" i="1" s="1"/>
  <c r="K259" i="1" l="1"/>
  <c r="L259" i="1" s="1"/>
  <c r="M260" i="1" s="1"/>
  <c r="G259" i="1"/>
  <c r="N259" i="1"/>
  <c r="O259" i="1" s="1"/>
  <c r="I259" i="1"/>
  <c r="R258" i="1"/>
  <c r="S258" i="1" s="1"/>
  <c r="J259" i="1" l="1"/>
  <c r="P259" i="1"/>
  <c r="Q259" i="1" s="1"/>
  <c r="H259" i="1"/>
  <c r="R259" i="1" l="1"/>
  <c r="S259" i="1" s="1"/>
  <c r="I260" i="1"/>
  <c r="G260" i="1"/>
  <c r="P260" i="1" s="1"/>
  <c r="Q260" i="1" s="1"/>
  <c r="N260" i="1"/>
  <c r="O260" i="1" s="1"/>
  <c r="K260" i="1"/>
  <c r="L260" i="1" s="1"/>
  <c r="M261" i="1" s="1"/>
  <c r="H260" i="1" l="1"/>
  <c r="J260" i="1"/>
  <c r="R260" i="1" l="1"/>
  <c r="S260" i="1" s="1"/>
  <c r="I261" i="1"/>
  <c r="H261" i="1"/>
  <c r="N261" i="1"/>
  <c r="O261" i="1" s="1"/>
  <c r="K261" i="1"/>
  <c r="L261" i="1" s="1"/>
  <c r="M262" i="1" s="1"/>
  <c r="G261" i="1"/>
  <c r="P261" i="1" s="1"/>
  <c r="Q261" i="1" s="1"/>
  <c r="J261" i="1" l="1"/>
  <c r="N262" i="1" s="1"/>
  <c r="O262" i="1" s="1"/>
  <c r="G262" i="1"/>
  <c r="I262" i="1"/>
  <c r="R261" i="1" l="1"/>
  <c r="S261" i="1" s="1"/>
  <c r="K262" i="1"/>
  <c r="L262" i="1" s="1"/>
  <c r="M263" i="1" s="1"/>
  <c r="J262" i="1"/>
  <c r="P262" i="1"/>
  <c r="Q262" i="1" s="1"/>
  <c r="H262" i="1"/>
  <c r="I263" i="1" l="1"/>
  <c r="R262" i="1"/>
  <c r="S262" i="1" s="1"/>
  <c r="K263" i="1"/>
  <c r="L263" i="1" s="1"/>
  <c r="M264" i="1" s="1"/>
  <c r="G263" i="1"/>
  <c r="N263" i="1"/>
  <c r="O263" i="1" s="1"/>
  <c r="J263" i="1" l="1"/>
  <c r="P263" i="1"/>
  <c r="Q263" i="1" s="1"/>
  <c r="H263" i="1"/>
  <c r="I264" i="1" l="1"/>
  <c r="R263" i="1"/>
  <c r="S263" i="1" s="1"/>
  <c r="N264" i="1"/>
  <c r="O264" i="1" s="1"/>
  <c r="G264" i="1"/>
  <c r="K264" i="1"/>
  <c r="L264" i="1" s="1"/>
  <c r="M265" i="1" s="1"/>
  <c r="J264" i="1" l="1"/>
  <c r="G265" i="1" s="1"/>
  <c r="P265" i="1" s="1"/>
  <c r="P264" i="1"/>
  <c r="Q264" i="1" s="1"/>
  <c r="H264" i="1"/>
  <c r="N265" i="1" l="1"/>
  <c r="O265" i="1" s="1"/>
  <c r="Q265" i="1" s="1"/>
  <c r="K265" i="1"/>
  <c r="L265" i="1" s="1"/>
  <c r="M266" i="1" s="1"/>
  <c r="R264" i="1"/>
  <c r="S264" i="1" s="1"/>
  <c r="I265" i="1"/>
  <c r="J265" i="1" l="1"/>
  <c r="H265" i="1"/>
  <c r="R265" i="1" l="1"/>
  <c r="S265" i="1" s="1"/>
  <c r="I266" i="1"/>
  <c r="G266" i="1"/>
  <c r="K266" i="1"/>
  <c r="L266" i="1" s="1"/>
  <c r="M267" i="1" s="1"/>
  <c r="N266" i="1"/>
  <c r="O266" i="1" s="1"/>
  <c r="H266" i="1" l="1"/>
  <c r="P266" i="1"/>
  <c r="Q266" i="1" s="1"/>
  <c r="J266" i="1"/>
  <c r="G267" i="1" l="1"/>
  <c r="K267" i="1"/>
  <c r="L267" i="1" s="1"/>
  <c r="M268" i="1" s="1"/>
  <c r="N267" i="1"/>
  <c r="O267" i="1" s="1"/>
  <c r="R266" i="1"/>
  <c r="S266" i="1" s="1"/>
  <c r="I267" i="1"/>
  <c r="J267" i="1" s="1"/>
  <c r="G268" i="1" l="1"/>
  <c r="P268" i="1" s="1"/>
  <c r="N268" i="1"/>
  <c r="O268" i="1" s="1"/>
  <c r="K268" i="1"/>
  <c r="L268" i="1" s="1"/>
  <c r="M269" i="1" s="1"/>
  <c r="P267" i="1"/>
  <c r="Q267" i="1" s="1"/>
  <c r="H267" i="1"/>
  <c r="Q268" i="1" l="1"/>
  <c r="I268" i="1"/>
  <c r="J268" i="1" s="1"/>
  <c r="R267" i="1"/>
  <c r="S267" i="1" s="1"/>
  <c r="H268" i="1"/>
  <c r="I269" i="1" l="1"/>
  <c r="R268" i="1"/>
  <c r="S268" i="1" s="1"/>
  <c r="N269" i="1"/>
  <c r="O269" i="1" s="1"/>
  <c r="K269" i="1"/>
  <c r="L269" i="1" s="1"/>
  <c r="M270" i="1" s="1"/>
  <c r="G269" i="1"/>
  <c r="P269" i="1" s="1"/>
  <c r="H269" i="1" l="1"/>
  <c r="J269" i="1"/>
  <c r="K270" i="1" s="1"/>
  <c r="L270" i="1" s="1"/>
  <c r="M271" i="1" s="1"/>
  <c r="Q269" i="1"/>
  <c r="G270" i="1" l="1"/>
  <c r="P270" i="1" s="1"/>
  <c r="N270" i="1"/>
  <c r="O270" i="1" s="1"/>
  <c r="Q270" i="1" s="1"/>
  <c r="R269" i="1"/>
  <c r="S269" i="1" s="1"/>
  <c r="I270" i="1"/>
  <c r="H270" i="1" s="1"/>
  <c r="I271" i="1" l="1"/>
  <c r="J270" i="1"/>
  <c r="R270" i="1" s="1"/>
  <c r="S270" i="1" s="1"/>
  <c r="N271" i="1"/>
  <c r="O271" i="1" s="1"/>
  <c r="K271" i="1" l="1"/>
  <c r="L271" i="1" s="1"/>
  <c r="M272" i="1" s="1"/>
  <c r="G271" i="1"/>
  <c r="P271" i="1" s="1"/>
  <c r="Q271" i="1" s="1"/>
  <c r="J271" i="1"/>
  <c r="H271" i="1"/>
  <c r="K272" i="1" l="1"/>
  <c r="L272" i="1" s="1"/>
  <c r="M273" i="1" s="1"/>
  <c r="N272" i="1"/>
  <c r="O272" i="1" s="1"/>
  <c r="G272" i="1"/>
  <c r="I272" i="1"/>
  <c r="R271" i="1"/>
  <c r="S271" i="1" s="1"/>
  <c r="J272" i="1" l="1"/>
  <c r="G273" i="1" s="1"/>
  <c r="P273" i="1" s="1"/>
  <c r="P272" i="1"/>
  <c r="Q272" i="1" s="1"/>
  <c r="H272" i="1"/>
  <c r="K273" i="1" l="1"/>
  <c r="L273" i="1" s="1"/>
  <c r="M274" i="1" s="1"/>
  <c r="N273" i="1"/>
  <c r="O273" i="1" s="1"/>
  <c r="Q273" i="1" s="1"/>
  <c r="I273" i="1"/>
  <c r="R272" i="1"/>
  <c r="S272" i="1" s="1"/>
  <c r="J273" i="1" l="1"/>
  <c r="H273" i="1"/>
  <c r="R273" i="1" l="1"/>
  <c r="S273" i="1" s="1"/>
  <c r="I274" i="1"/>
  <c r="K274" i="1"/>
  <c r="L274" i="1" s="1"/>
  <c r="M275" i="1" s="1"/>
  <c r="G274" i="1"/>
  <c r="N274" i="1"/>
  <c r="O274" i="1" s="1"/>
  <c r="J274" i="1" l="1"/>
  <c r="N275" i="1" s="1"/>
  <c r="O275" i="1" s="1"/>
  <c r="P274" i="1"/>
  <c r="Q274" i="1" s="1"/>
  <c r="H274" i="1"/>
  <c r="G275" i="1" l="1"/>
  <c r="P275" i="1" s="1"/>
  <c r="Q275" i="1" s="1"/>
  <c r="K275" i="1"/>
  <c r="L275" i="1" s="1"/>
  <c r="M276" i="1" s="1"/>
  <c r="R274" i="1"/>
  <c r="S274" i="1" s="1"/>
  <c r="I275" i="1"/>
  <c r="H275" i="1" l="1"/>
  <c r="I276" i="1" s="1"/>
  <c r="J275" i="1"/>
  <c r="G276" i="1" l="1"/>
  <c r="N276" i="1"/>
  <c r="O276" i="1" s="1"/>
  <c r="K276" i="1"/>
  <c r="L276" i="1" s="1"/>
  <c r="M277" i="1" s="1"/>
  <c r="R275" i="1"/>
  <c r="S275" i="1" s="1"/>
  <c r="J276" i="1" l="1"/>
  <c r="G277" i="1" s="1"/>
  <c r="P277" i="1" s="1"/>
  <c r="P276" i="1"/>
  <c r="Q276" i="1" s="1"/>
  <c r="H276" i="1"/>
  <c r="N277" i="1" l="1"/>
  <c r="O277" i="1" s="1"/>
  <c r="K277" i="1"/>
  <c r="L277" i="1" s="1"/>
  <c r="M278" i="1" s="1"/>
  <c r="R276" i="1"/>
  <c r="S276" i="1" s="1"/>
  <c r="I277" i="1"/>
  <c r="Q277" i="1"/>
  <c r="J277" i="1" l="1"/>
  <c r="K278" i="1" s="1"/>
  <c r="L278" i="1" s="1"/>
  <c r="M279" i="1" s="1"/>
  <c r="H277" i="1"/>
  <c r="I278" i="1" s="1"/>
  <c r="N278" i="1" l="1"/>
  <c r="O278" i="1" s="1"/>
  <c r="G278" i="1"/>
  <c r="P278" i="1" s="1"/>
  <c r="R277" i="1"/>
  <c r="S277" i="1" s="1"/>
  <c r="J278" i="1" l="1"/>
  <c r="G279" i="1" s="1"/>
  <c r="P279" i="1" s="1"/>
  <c r="Q278" i="1"/>
  <c r="H278" i="1"/>
  <c r="I279" i="1" s="1"/>
  <c r="N279" i="1"/>
  <c r="O279" i="1" s="1"/>
  <c r="K279" i="1" l="1"/>
  <c r="L279" i="1" s="1"/>
  <c r="M280" i="1" s="1"/>
  <c r="R278" i="1"/>
  <c r="S278" i="1" s="1"/>
  <c r="H279" i="1"/>
  <c r="Q279" i="1"/>
  <c r="J279" i="1" l="1"/>
  <c r="N280" i="1"/>
  <c r="O280" i="1" s="1"/>
  <c r="K280" i="1"/>
  <c r="L280" i="1" s="1"/>
  <c r="M281" i="1" s="1"/>
  <c r="G280" i="1"/>
  <c r="P280" i="1" s="1"/>
  <c r="Q280" i="1" s="1"/>
  <c r="I280" i="1"/>
  <c r="R279" i="1"/>
  <c r="S279" i="1" s="1"/>
  <c r="H280" i="1" l="1"/>
  <c r="J280" i="1"/>
  <c r="K281" i="1" s="1"/>
  <c r="L281" i="1" s="1"/>
  <c r="M282" i="1" s="1"/>
  <c r="N281" i="1"/>
  <c r="O281" i="1" s="1"/>
  <c r="G281" i="1" l="1"/>
  <c r="R280" i="1"/>
  <c r="S280" i="1" s="1"/>
  <c r="I281" i="1"/>
  <c r="J281" i="1" s="1"/>
  <c r="G282" i="1" s="1"/>
  <c r="P282" i="1" s="1"/>
  <c r="P281" i="1"/>
  <c r="Q281" i="1" s="1"/>
  <c r="H281" i="1"/>
  <c r="K282" i="1" l="1"/>
  <c r="L282" i="1" s="1"/>
  <c r="M283" i="1" s="1"/>
  <c r="N282" i="1"/>
  <c r="O282" i="1" s="1"/>
  <c r="Q282" i="1" s="1"/>
  <c r="I282" i="1"/>
  <c r="R281" i="1"/>
  <c r="S281" i="1" s="1"/>
  <c r="H282" i="1" l="1"/>
  <c r="J282" i="1"/>
  <c r="K283" i="1" l="1"/>
  <c r="L283" i="1" s="1"/>
  <c r="M284" i="1" s="1"/>
  <c r="G283" i="1"/>
  <c r="N283" i="1"/>
  <c r="O283" i="1" s="1"/>
  <c r="R282" i="1"/>
  <c r="S282" i="1" s="1"/>
  <c r="I283" i="1"/>
  <c r="J283" i="1" l="1"/>
  <c r="P283" i="1"/>
  <c r="Q283" i="1" s="1"/>
  <c r="H283" i="1"/>
  <c r="G284" i="1" l="1"/>
  <c r="P284" i="1" s="1"/>
  <c r="K284" i="1"/>
  <c r="L284" i="1" s="1"/>
  <c r="M285" i="1" s="1"/>
  <c r="N284" i="1"/>
  <c r="O284" i="1" s="1"/>
  <c r="R283" i="1"/>
  <c r="S283" i="1" s="1"/>
  <c r="I284" i="1"/>
  <c r="Q284" i="1" l="1"/>
  <c r="J284" i="1"/>
  <c r="H284" i="1"/>
  <c r="I285" i="1" l="1"/>
  <c r="R284" i="1"/>
  <c r="S284" i="1" s="1"/>
  <c r="K285" i="1"/>
  <c r="L285" i="1" s="1"/>
  <c r="M286" i="1" s="1"/>
  <c r="N285" i="1"/>
  <c r="O285" i="1" s="1"/>
  <c r="G285" i="1"/>
  <c r="H285" i="1" l="1"/>
  <c r="P285" i="1"/>
  <c r="Q285" i="1" s="1"/>
  <c r="J285" i="1"/>
  <c r="N286" i="1" l="1"/>
  <c r="O286" i="1" s="1"/>
  <c r="K286" i="1"/>
  <c r="L286" i="1" s="1"/>
  <c r="M287" i="1" s="1"/>
  <c r="G286" i="1"/>
  <c r="R285" i="1"/>
  <c r="S285" i="1" s="1"/>
  <c r="I286" i="1"/>
  <c r="J286" i="1" l="1"/>
  <c r="G287" i="1" s="1"/>
  <c r="P287" i="1" s="1"/>
  <c r="H286" i="1"/>
  <c r="P286" i="1"/>
  <c r="Q286" i="1" s="1"/>
  <c r="K287" i="1" l="1"/>
  <c r="L287" i="1" s="1"/>
  <c r="M288" i="1" s="1"/>
  <c r="N287" i="1"/>
  <c r="O287" i="1" s="1"/>
  <c r="Q287" i="1" s="1"/>
  <c r="I287" i="1"/>
  <c r="R286" i="1"/>
  <c r="S286" i="1" s="1"/>
  <c r="J287" i="1" l="1"/>
  <c r="K288" i="1" s="1"/>
  <c r="L288" i="1" s="1"/>
  <c r="M289" i="1" s="1"/>
  <c r="H287" i="1"/>
  <c r="G288" i="1" l="1"/>
  <c r="P288" i="1" s="1"/>
  <c r="N288" i="1"/>
  <c r="O288" i="1" s="1"/>
  <c r="I288" i="1"/>
  <c r="R287" i="1"/>
  <c r="S287" i="1" s="1"/>
  <c r="Q288" i="1" l="1"/>
  <c r="H288" i="1"/>
  <c r="I289" i="1" s="1"/>
  <c r="J288" i="1"/>
  <c r="R288" i="1" l="1"/>
  <c r="S288" i="1" s="1"/>
  <c r="G289" i="1"/>
  <c r="K289" i="1"/>
  <c r="L289" i="1" s="1"/>
  <c r="M290" i="1" s="1"/>
  <c r="N289" i="1"/>
  <c r="O289" i="1" s="1"/>
  <c r="J289" i="1" l="1"/>
  <c r="H289" i="1"/>
  <c r="P289" i="1"/>
  <c r="Q289" i="1" s="1"/>
  <c r="K290" i="1" l="1"/>
  <c r="L290" i="1" s="1"/>
  <c r="M291" i="1" s="1"/>
  <c r="G290" i="1"/>
  <c r="P290" i="1" s="1"/>
  <c r="N290" i="1"/>
  <c r="O290" i="1" s="1"/>
  <c r="I290" i="1"/>
  <c r="J290" i="1" s="1"/>
  <c r="R289" i="1"/>
  <c r="S289" i="1" s="1"/>
  <c r="Q290" i="1" l="1"/>
  <c r="H290" i="1"/>
  <c r="G291" i="1"/>
  <c r="K291" i="1"/>
  <c r="L291" i="1" s="1"/>
  <c r="M292" i="1" s="1"/>
  <c r="N291" i="1"/>
  <c r="O291" i="1" s="1"/>
  <c r="I291" i="1"/>
  <c r="R290" i="1"/>
  <c r="S290" i="1" s="1"/>
  <c r="P291" i="1" l="1"/>
  <c r="Q291" i="1" s="1"/>
  <c r="H291" i="1"/>
  <c r="J291" i="1"/>
  <c r="K292" i="1" l="1"/>
  <c r="L292" i="1" s="1"/>
  <c r="M293" i="1" s="1"/>
  <c r="N292" i="1"/>
  <c r="O292" i="1" s="1"/>
  <c r="G292" i="1"/>
  <c r="R291" i="1"/>
  <c r="S291" i="1" s="1"/>
  <c r="I292" i="1"/>
  <c r="J292" i="1" l="1"/>
  <c r="G293" i="1" s="1"/>
  <c r="P293" i="1" s="1"/>
  <c r="P292" i="1"/>
  <c r="Q292" i="1" s="1"/>
  <c r="H292" i="1"/>
  <c r="K293" i="1" l="1"/>
  <c r="L293" i="1" s="1"/>
  <c r="M294" i="1" s="1"/>
  <c r="N293" i="1"/>
  <c r="O293" i="1" s="1"/>
  <c r="Q293" i="1" s="1"/>
  <c r="I293" i="1"/>
  <c r="R292" i="1"/>
  <c r="S292" i="1" s="1"/>
  <c r="H293" i="1" l="1"/>
  <c r="J293" i="1"/>
  <c r="R293" i="1" l="1"/>
  <c r="S293" i="1" s="1"/>
  <c r="I294" i="1"/>
  <c r="N294" i="1"/>
  <c r="O294" i="1" s="1"/>
  <c r="K294" i="1"/>
  <c r="L294" i="1" s="1"/>
  <c r="M295" i="1" s="1"/>
  <c r="G294" i="1"/>
  <c r="P294" i="1" s="1"/>
  <c r="Q294" i="1" s="1"/>
  <c r="H294" i="1" l="1"/>
  <c r="J294" i="1"/>
  <c r="K295" i="1" l="1"/>
  <c r="L295" i="1" s="1"/>
  <c r="M296" i="1" s="1"/>
  <c r="G295" i="1"/>
  <c r="P295" i="1" s="1"/>
  <c r="N295" i="1"/>
  <c r="O295" i="1" s="1"/>
  <c r="I295" i="1"/>
  <c r="R294" i="1"/>
  <c r="S294" i="1" s="1"/>
  <c r="J295" i="1" l="1"/>
  <c r="Q295" i="1"/>
  <c r="N296" i="1"/>
  <c r="O296" i="1" s="1"/>
  <c r="H295" i="1"/>
  <c r="G296" i="1" l="1"/>
  <c r="P296" i="1" s="1"/>
  <c r="Q296" i="1" s="1"/>
  <c r="K296" i="1"/>
  <c r="L296" i="1" s="1"/>
  <c r="M297" i="1" s="1"/>
  <c r="R295" i="1"/>
  <c r="S295" i="1" s="1"/>
  <c r="I296" i="1"/>
  <c r="H296" i="1" l="1"/>
  <c r="J296" i="1"/>
  <c r="I297" i="1" l="1"/>
  <c r="R296" i="1"/>
  <c r="S296" i="1" s="1"/>
  <c r="N297" i="1"/>
  <c r="O297" i="1" s="1"/>
  <c r="K297" i="1"/>
  <c r="L297" i="1" s="1"/>
  <c r="M298" i="1" s="1"/>
  <c r="G297" i="1"/>
  <c r="P297" i="1" s="1"/>
  <c r="Q297" i="1" s="1"/>
  <c r="H297" i="1" l="1"/>
  <c r="I298" i="1" s="1"/>
  <c r="J297" i="1"/>
  <c r="K298" i="1" l="1"/>
  <c r="L298" i="1" s="1"/>
  <c r="M299" i="1" s="1"/>
  <c r="N298" i="1"/>
  <c r="O298" i="1" s="1"/>
  <c r="R297" i="1"/>
  <c r="S297" i="1" s="1"/>
  <c r="G298" i="1"/>
  <c r="J298" i="1" l="1"/>
  <c r="K299" i="1" s="1"/>
  <c r="L299" i="1" s="1"/>
  <c r="M300" i="1" s="1"/>
  <c r="P298" i="1"/>
  <c r="Q298" i="1" s="1"/>
  <c r="H298" i="1"/>
  <c r="N299" i="1" l="1"/>
  <c r="O299" i="1" s="1"/>
  <c r="G299" i="1"/>
  <c r="P299" i="1" s="1"/>
  <c r="Q299" i="1" s="1"/>
  <c r="R298" i="1"/>
  <c r="S298" i="1" s="1"/>
  <c r="I299" i="1"/>
  <c r="J299" i="1" l="1"/>
  <c r="H299" i="1"/>
  <c r="N300" i="1" l="1"/>
  <c r="O300" i="1" s="1"/>
  <c r="K300" i="1"/>
  <c r="L300" i="1" s="1"/>
  <c r="M301" i="1" s="1"/>
  <c r="G300" i="1"/>
  <c r="R299" i="1"/>
  <c r="S299" i="1" s="1"/>
  <c r="I300" i="1"/>
  <c r="J300" i="1" l="1"/>
  <c r="N301" i="1" s="1"/>
  <c r="O301" i="1" s="1"/>
  <c r="P300" i="1"/>
  <c r="Q300" i="1" s="1"/>
  <c r="H300" i="1"/>
  <c r="G301" i="1"/>
  <c r="P301" i="1" s="1"/>
  <c r="K301" i="1" l="1"/>
  <c r="L301" i="1" s="1"/>
  <c r="M302" i="1" s="1"/>
  <c r="Q301" i="1"/>
  <c r="I301" i="1"/>
  <c r="R300" i="1"/>
  <c r="S300" i="1" s="1"/>
  <c r="H301" i="1"/>
  <c r="J301" i="1" l="1"/>
  <c r="R301" i="1" s="1"/>
  <c r="S301" i="1" s="1"/>
  <c r="I302" i="1"/>
  <c r="G302" i="1" l="1"/>
  <c r="P302" i="1" s="1"/>
  <c r="Q302" i="1" s="1"/>
  <c r="N302" i="1"/>
  <c r="O302" i="1" s="1"/>
  <c r="K302" i="1"/>
  <c r="L302" i="1" s="1"/>
  <c r="M303" i="1" s="1"/>
  <c r="H302" i="1" l="1"/>
  <c r="R302" i="1" s="1"/>
  <c r="S302" i="1" s="1"/>
  <c r="J302" i="1"/>
  <c r="I303" i="1"/>
  <c r="G303" i="1" l="1"/>
  <c r="P303" i="1" s="1"/>
  <c r="N303" i="1"/>
  <c r="O303" i="1" s="1"/>
  <c r="K303" i="1"/>
  <c r="L303" i="1" s="1"/>
  <c r="M304" i="1" s="1"/>
  <c r="H303" i="1" l="1"/>
  <c r="I304" i="1" s="1"/>
  <c r="J303" i="1"/>
  <c r="Q303" i="1"/>
  <c r="N304" i="1"/>
  <c r="O304" i="1" s="1"/>
  <c r="G304" i="1"/>
  <c r="K304" i="1"/>
  <c r="L304" i="1" s="1"/>
  <c r="M305" i="1" s="1"/>
  <c r="R303" i="1" l="1"/>
  <c r="S303" i="1" s="1"/>
  <c r="J304" i="1"/>
  <c r="P304" i="1"/>
  <c r="Q304" i="1" s="1"/>
  <c r="H304" i="1"/>
  <c r="I305" i="1" l="1"/>
  <c r="R304" i="1"/>
  <c r="S304" i="1" s="1"/>
  <c r="G305" i="1"/>
  <c r="P305" i="1" s="1"/>
  <c r="N305" i="1"/>
  <c r="O305" i="1" s="1"/>
  <c r="K305" i="1"/>
  <c r="L305" i="1" s="1"/>
  <c r="M306" i="1" s="1"/>
  <c r="Q305" i="1" l="1"/>
  <c r="J305" i="1"/>
  <c r="H305" i="1"/>
  <c r="G306" i="1" l="1"/>
  <c r="P306" i="1" s="1"/>
  <c r="K306" i="1"/>
  <c r="L306" i="1" s="1"/>
  <c r="M307" i="1" s="1"/>
  <c r="N306" i="1"/>
  <c r="O306" i="1" s="1"/>
  <c r="R305" i="1"/>
  <c r="S305" i="1" s="1"/>
  <c r="I306" i="1"/>
  <c r="H306" i="1" l="1"/>
  <c r="R306" i="1" s="1"/>
  <c r="J306" i="1"/>
  <c r="G307" i="1"/>
  <c r="P307" i="1" s="1"/>
  <c r="N307" i="1"/>
  <c r="O307" i="1" s="1"/>
  <c r="K307" i="1"/>
  <c r="L307" i="1" s="1"/>
  <c r="M308" i="1" s="1"/>
  <c r="Q306" i="1"/>
  <c r="I307" i="1" l="1"/>
  <c r="H307" i="1" s="1"/>
  <c r="I308" i="1" s="1"/>
  <c r="S306" i="1"/>
  <c r="J307" i="1"/>
  <c r="Q307" i="1"/>
  <c r="N308" i="1" l="1"/>
  <c r="O308" i="1" s="1"/>
  <c r="G308" i="1"/>
  <c r="K308" i="1"/>
  <c r="L308" i="1" s="1"/>
  <c r="M309" i="1" s="1"/>
  <c r="R307" i="1"/>
  <c r="S307" i="1" s="1"/>
  <c r="J308" i="1" l="1"/>
  <c r="N309" i="1" s="1"/>
  <c r="O309" i="1" s="1"/>
  <c r="P308" i="1"/>
  <c r="Q308" i="1" s="1"/>
  <c r="H308" i="1"/>
  <c r="K309" i="1" l="1"/>
  <c r="L309" i="1" s="1"/>
  <c r="M310" i="1" s="1"/>
  <c r="G309" i="1"/>
  <c r="P309" i="1" s="1"/>
  <c r="Q309" i="1" s="1"/>
  <c r="I309" i="1"/>
  <c r="J309" i="1" s="1"/>
  <c r="R308" i="1"/>
  <c r="S308" i="1" s="1"/>
  <c r="H309" i="1" l="1"/>
  <c r="R309" i="1" s="1"/>
  <c r="S309" i="1" s="1"/>
  <c r="N310" i="1"/>
  <c r="O310" i="1" s="1"/>
  <c r="K310" i="1"/>
  <c r="L310" i="1" s="1"/>
  <c r="M311" i="1" s="1"/>
  <c r="G310" i="1"/>
  <c r="I310" i="1" l="1"/>
  <c r="J310" i="1" s="1"/>
  <c r="P310" i="1"/>
  <c r="Q310" i="1" s="1"/>
  <c r="H310" i="1"/>
  <c r="R310" i="1" l="1"/>
  <c r="S310" i="1" s="1"/>
  <c r="I311" i="1"/>
  <c r="K311" i="1"/>
  <c r="L311" i="1" s="1"/>
  <c r="M312" i="1" s="1"/>
  <c r="G311" i="1"/>
  <c r="P311" i="1" s="1"/>
  <c r="N311" i="1"/>
  <c r="O311" i="1" s="1"/>
  <c r="Q311" i="1" l="1"/>
  <c r="J311" i="1"/>
  <c r="K312" i="1" s="1"/>
  <c r="L312" i="1" s="1"/>
  <c r="M313" i="1" s="1"/>
  <c r="H311" i="1"/>
  <c r="N312" i="1" l="1"/>
  <c r="O312" i="1" s="1"/>
  <c r="G312" i="1"/>
  <c r="P312" i="1" s="1"/>
  <c r="I312" i="1"/>
  <c r="J312" i="1" s="1"/>
  <c r="R311" i="1"/>
  <c r="S311" i="1" s="1"/>
  <c r="H312" i="1"/>
  <c r="Q312" i="1" l="1"/>
  <c r="R312" i="1"/>
  <c r="I313" i="1"/>
  <c r="G313" i="1"/>
  <c r="P313" i="1" s="1"/>
  <c r="N313" i="1"/>
  <c r="O313" i="1" s="1"/>
  <c r="K313" i="1"/>
  <c r="L313" i="1" s="1"/>
  <c r="M314" i="1" s="1"/>
  <c r="S312" i="1" l="1"/>
  <c r="J313" i="1"/>
  <c r="N314" i="1" s="1"/>
  <c r="O314" i="1" s="1"/>
  <c r="Q313" i="1"/>
  <c r="K314" i="1"/>
  <c r="L314" i="1" s="1"/>
  <c r="M315" i="1" s="1"/>
  <c r="H313" i="1"/>
  <c r="G314" i="1" l="1"/>
  <c r="P314" i="1" s="1"/>
  <c r="Q314" i="1" s="1"/>
  <c r="R313" i="1"/>
  <c r="S313" i="1" s="1"/>
  <c r="I314" i="1"/>
  <c r="J314" i="1" s="1"/>
  <c r="N315" i="1" l="1"/>
  <c r="O315" i="1" s="1"/>
  <c r="K315" i="1"/>
  <c r="L315" i="1" s="1"/>
  <c r="M316" i="1" s="1"/>
  <c r="G315" i="1"/>
  <c r="P315" i="1" s="1"/>
  <c r="Q315" i="1" s="1"/>
  <c r="H314" i="1"/>
  <c r="R314" i="1" l="1"/>
  <c r="S314" i="1" s="1"/>
  <c r="I315" i="1"/>
  <c r="J315" i="1" l="1"/>
  <c r="H315" i="1"/>
  <c r="G316" i="1" l="1"/>
  <c r="P316" i="1" s="1"/>
  <c r="K316" i="1"/>
  <c r="L316" i="1" s="1"/>
  <c r="M317" i="1" s="1"/>
  <c r="N316" i="1"/>
  <c r="O316" i="1" s="1"/>
  <c r="I316" i="1"/>
  <c r="R315" i="1"/>
  <c r="S315" i="1" s="1"/>
  <c r="H316" i="1" l="1"/>
  <c r="R316" i="1" s="1"/>
  <c r="J316" i="1"/>
  <c r="Q316" i="1"/>
  <c r="N317" i="1"/>
  <c r="O317" i="1" s="1"/>
  <c r="G317" i="1"/>
  <c r="K317" i="1"/>
  <c r="L317" i="1" s="1"/>
  <c r="M318" i="1" s="1"/>
  <c r="I317" i="1"/>
  <c r="S316" i="1" l="1"/>
  <c r="J317" i="1"/>
  <c r="K318" i="1" s="1"/>
  <c r="L318" i="1" s="1"/>
  <c r="M319" i="1" s="1"/>
  <c r="P317" i="1"/>
  <c r="Q317" i="1" s="1"/>
  <c r="H317" i="1"/>
  <c r="G318" i="1" l="1"/>
  <c r="P318" i="1" s="1"/>
  <c r="N318" i="1"/>
  <c r="O318" i="1" s="1"/>
  <c r="R317" i="1"/>
  <c r="S317" i="1" s="1"/>
  <c r="I318" i="1"/>
  <c r="Q318" i="1" l="1"/>
  <c r="H318" i="1"/>
  <c r="J318" i="1"/>
  <c r="N319" i="1" l="1"/>
  <c r="O319" i="1" s="1"/>
  <c r="K319" i="1"/>
  <c r="L319" i="1" s="1"/>
  <c r="M320" i="1" s="1"/>
  <c r="G319" i="1"/>
  <c r="I319" i="1"/>
  <c r="R318" i="1"/>
  <c r="S318" i="1" s="1"/>
  <c r="H319" i="1" l="1"/>
  <c r="P319" i="1"/>
  <c r="Q319" i="1" s="1"/>
  <c r="J319" i="1"/>
  <c r="N320" i="1" l="1"/>
  <c r="O320" i="1" s="1"/>
  <c r="K320" i="1"/>
  <c r="L320" i="1" s="1"/>
  <c r="M321" i="1" s="1"/>
  <c r="G320" i="1"/>
  <c r="I320" i="1"/>
  <c r="R319" i="1"/>
  <c r="S319" i="1" s="1"/>
  <c r="P320" i="1" l="1"/>
  <c r="Q320" i="1" s="1"/>
  <c r="H320" i="1"/>
  <c r="J320" i="1"/>
  <c r="I321" i="1" l="1"/>
  <c r="R320" i="1"/>
  <c r="S320" i="1" s="1"/>
  <c r="N321" i="1"/>
  <c r="O321" i="1" s="1"/>
  <c r="K321" i="1"/>
  <c r="L321" i="1" s="1"/>
  <c r="M322" i="1" s="1"/>
  <c r="G321" i="1"/>
  <c r="P321" i="1" s="1"/>
  <c r="Q321" i="1" s="1"/>
  <c r="H321" i="1" l="1"/>
  <c r="I322" i="1" s="1"/>
  <c r="J321" i="1"/>
  <c r="N322" i="1" l="1"/>
  <c r="O322" i="1" s="1"/>
  <c r="G322" i="1"/>
  <c r="K322" i="1"/>
  <c r="L322" i="1" s="1"/>
  <c r="M323" i="1" s="1"/>
  <c r="R321" i="1"/>
  <c r="S321" i="1" s="1"/>
  <c r="J322" i="1" l="1"/>
  <c r="P322" i="1"/>
  <c r="Q322" i="1" s="1"/>
  <c r="H322" i="1"/>
  <c r="I323" i="1" l="1"/>
  <c r="R322" i="1"/>
  <c r="S322" i="1" s="1"/>
  <c r="K323" i="1"/>
  <c r="L323" i="1" s="1"/>
  <c r="M324" i="1" s="1"/>
  <c r="G323" i="1"/>
  <c r="P323" i="1" s="1"/>
  <c r="Q323" i="1" s="1"/>
  <c r="N323" i="1"/>
  <c r="O323" i="1" s="1"/>
  <c r="J323" i="1"/>
  <c r="K324" i="1" l="1"/>
  <c r="L324" i="1" s="1"/>
  <c r="M325" i="1" s="1"/>
  <c r="N324" i="1"/>
  <c r="O324" i="1" s="1"/>
  <c r="G324" i="1"/>
  <c r="P324" i="1" s="1"/>
  <c r="H323" i="1"/>
  <c r="I324" i="1" l="1"/>
  <c r="J324" i="1" s="1"/>
  <c r="R323" i="1"/>
  <c r="S323" i="1" s="1"/>
  <c r="Q324" i="1"/>
  <c r="H324" i="1" l="1"/>
  <c r="I325" i="1" s="1"/>
  <c r="N325" i="1"/>
  <c r="O325" i="1" s="1"/>
  <c r="K325" i="1"/>
  <c r="L325" i="1" s="1"/>
  <c r="M326" i="1" s="1"/>
  <c r="G325" i="1"/>
  <c r="R324" i="1" l="1"/>
  <c r="S324" i="1" s="1"/>
  <c r="P325" i="1"/>
  <c r="Q325" i="1" s="1"/>
  <c r="H325" i="1"/>
  <c r="J325" i="1"/>
  <c r="I326" i="1" l="1"/>
  <c r="R325" i="1"/>
  <c r="S325" i="1" s="1"/>
  <c r="K326" i="1"/>
  <c r="L326" i="1" s="1"/>
  <c r="M327" i="1" s="1"/>
  <c r="N326" i="1"/>
  <c r="O326" i="1" s="1"/>
  <c r="G326" i="1"/>
  <c r="J326" i="1" l="1"/>
  <c r="P326" i="1"/>
  <c r="Q326" i="1" s="1"/>
  <c r="H326" i="1"/>
  <c r="N327" i="1" l="1"/>
  <c r="O327" i="1" s="1"/>
  <c r="G327" i="1"/>
  <c r="P327" i="1" s="1"/>
  <c r="K327" i="1"/>
  <c r="L327" i="1" s="1"/>
  <c r="M328" i="1" s="1"/>
  <c r="R326" i="1"/>
  <c r="S326" i="1" s="1"/>
  <c r="I327" i="1"/>
  <c r="Q327" i="1" l="1"/>
  <c r="J327" i="1"/>
  <c r="H327" i="1"/>
  <c r="K328" i="1" l="1"/>
  <c r="L328" i="1" s="1"/>
  <c r="M329" i="1" s="1"/>
  <c r="N328" i="1"/>
  <c r="O328" i="1" s="1"/>
  <c r="G328" i="1"/>
  <c r="P328" i="1" s="1"/>
  <c r="Q328" i="1" s="1"/>
  <c r="I328" i="1"/>
  <c r="R327" i="1"/>
  <c r="S327" i="1" s="1"/>
  <c r="H328" i="1" l="1"/>
  <c r="R328" i="1" s="1"/>
  <c r="S328" i="1" s="1"/>
  <c r="J328" i="1"/>
  <c r="N329" i="1"/>
  <c r="O329" i="1" s="1"/>
  <c r="G329" i="1"/>
  <c r="P329" i="1" s="1"/>
  <c r="K329" i="1"/>
  <c r="L329" i="1" s="1"/>
  <c r="M330" i="1" s="1"/>
  <c r="I329" i="1"/>
  <c r="J329" i="1" s="1"/>
  <c r="H329" i="1" l="1"/>
  <c r="I330" i="1" s="1"/>
  <c r="K330" i="1"/>
  <c r="L330" i="1" s="1"/>
  <c r="M331" i="1" s="1"/>
  <c r="G330" i="1"/>
  <c r="P330" i="1" s="1"/>
  <c r="Q329" i="1"/>
  <c r="N330" i="1"/>
  <c r="O330" i="1" s="1"/>
  <c r="J330" i="1" l="1"/>
  <c r="K331" i="1" s="1"/>
  <c r="L331" i="1" s="1"/>
  <c r="M332" i="1" s="1"/>
  <c r="Q330" i="1"/>
  <c r="H330" i="1"/>
  <c r="I331" i="1" s="1"/>
  <c r="R329" i="1"/>
  <c r="S329" i="1" s="1"/>
  <c r="G331" i="1"/>
  <c r="N331" i="1" l="1"/>
  <c r="O331" i="1" s="1"/>
  <c r="R330" i="1"/>
  <c r="S330" i="1" s="1"/>
  <c r="J331" i="1"/>
  <c r="P331" i="1"/>
  <c r="Q331" i="1" s="1"/>
  <c r="H331" i="1"/>
  <c r="R331" i="1" l="1"/>
  <c r="S331" i="1" s="1"/>
  <c r="I332" i="1"/>
  <c r="G332" i="1"/>
  <c r="P332" i="1" s="1"/>
  <c r="Q332" i="1" s="1"/>
  <c r="N332" i="1"/>
  <c r="O332" i="1" s="1"/>
  <c r="K332" i="1"/>
  <c r="L332" i="1" s="1"/>
  <c r="M333" i="1" s="1"/>
  <c r="H332" i="1" l="1"/>
  <c r="J332" i="1"/>
  <c r="I333" i="1"/>
  <c r="N333" i="1" l="1"/>
  <c r="O333" i="1" s="1"/>
  <c r="G333" i="1"/>
  <c r="K333" i="1"/>
  <c r="L333" i="1" s="1"/>
  <c r="M334" i="1" s="1"/>
  <c r="R332" i="1"/>
  <c r="S332" i="1" s="1"/>
  <c r="J333" i="1" l="1"/>
  <c r="P333" i="1"/>
  <c r="Q333" i="1" s="1"/>
  <c r="H333" i="1"/>
  <c r="I334" i="1" l="1"/>
  <c r="R333" i="1"/>
  <c r="S333" i="1" s="1"/>
  <c r="K334" i="1"/>
  <c r="L334" i="1" s="1"/>
  <c r="M335" i="1" s="1"/>
  <c r="N334" i="1"/>
  <c r="O334" i="1" s="1"/>
  <c r="G334" i="1"/>
  <c r="P334" i="1" s="1"/>
  <c r="Q334" i="1" l="1"/>
  <c r="J334" i="1"/>
  <c r="H334" i="1"/>
  <c r="G335" i="1" l="1"/>
  <c r="P335" i="1" s="1"/>
  <c r="N335" i="1"/>
  <c r="O335" i="1" s="1"/>
  <c r="K335" i="1"/>
  <c r="L335" i="1" s="1"/>
  <c r="M336" i="1" s="1"/>
  <c r="R334" i="1"/>
  <c r="S334" i="1" s="1"/>
  <c r="I335" i="1"/>
  <c r="H335" i="1" l="1"/>
  <c r="I336" i="1" s="1"/>
  <c r="J335" i="1"/>
  <c r="N336" i="1" s="1"/>
  <c r="O336" i="1" s="1"/>
  <c r="Q335" i="1"/>
  <c r="K336" i="1"/>
  <c r="L336" i="1" s="1"/>
  <c r="M337" i="1" s="1"/>
  <c r="G336" i="1"/>
  <c r="H336" i="1" l="1"/>
  <c r="I337" i="1" s="1"/>
  <c r="R335" i="1"/>
  <c r="S335" i="1" s="1"/>
  <c r="J336" i="1"/>
  <c r="N337" i="1" s="1"/>
  <c r="O337" i="1" s="1"/>
  <c r="P336" i="1"/>
  <c r="Q336" i="1" s="1"/>
  <c r="G337" i="1" l="1"/>
  <c r="K337" i="1"/>
  <c r="L337" i="1" s="1"/>
  <c r="M338" i="1" s="1"/>
  <c r="R336" i="1"/>
  <c r="J337" i="1"/>
  <c r="N338" i="1" s="1"/>
  <c r="O338" i="1" s="1"/>
  <c r="S336" i="1"/>
  <c r="K338" i="1" l="1"/>
  <c r="L338" i="1" s="1"/>
  <c r="M339" i="1" s="1"/>
  <c r="H337" i="1"/>
  <c r="I338" i="1" s="1"/>
  <c r="P337" i="1"/>
  <c r="Q337" i="1" s="1"/>
  <c r="R337" i="1"/>
  <c r="G338" i="1"/>
  <c r="P338" i="1" s="1"/>
  <c r="Q338" i="1" s="1"/>
  <c r="J338" i="1" l="1"/>
  <c r="K339" i="1" s="1"/>
  <c r="H338" i="1"/>
  <c r="I339" i="1" s="1"/>
  <c r="S337" i="1"/>
  <c r="G339" i="1" l="1"/>
  <c r="H339" i="1" s="1"/>
  <c r="N339" i="1"/>
  <c r="O339" i="1" s="1"/>
  <c r="R338" i="1"/>
  <c r="S338" i="1" s="1"/>
  <c r="P339" i="1"/>
  <c r="Q339" i="1" s="1"/>
  <c r="L339" i="1"/>
  <c r="M340" i="1" s="1"/>
  <c r="J339" i="1"/>
  <c r="G340" i="1" l="1"/>
  <c r="N340" i="1"/>
  <c r="O340" i="1" s="1"/>
  <c r="K340" i="1"/>
  <c r="L340" i="1" s="1"/>
  <c r="M341" i="1" s="1"/>
  <c r="R339" i="1"/>
  <c r="S339" i="1" s="1"/>
  <c r="I340" i="1"/>
  <c r="J340" i="1" s="1"/>
  <c r="G341" i="1" l="1"/>
  <c r="P341" i="1" s="1"/>
  <c r="N341" i="1"/>
  <c r="O341" i="1" s="1"/>
  <c r="K341" i="1"/>
  <c r="L341" i="1" s="1"/>
  <c r="M342" i="1" s="1"/>
  <c r="P340" i="1"/>
  <c r="Q340" i="1" s="1"/>
  <c r="H340" i="1"/>
  <c r="Q341" i="1" l="1"/>
  <c r="I341" i="1"/>
  <c r="J341" i="1" s="1"/>
  <c r="R340" i="1"/>
  <c r="S340" i="1" s="1"/>
  <c r="K342" i="1" l="1"/>
  <c r="L342" i="1" s="1"/>
  <c r="M343" i="1" s="1"/>
  <c r="N342" i="1"/>
  <c r="O342" i="1" s="1"/>
  <c r="G342" i="1"/>
  <c r="P342" i="1" s="1"/>
  <c r="H341" i="1"/>
  <c r="Q342" i="1" l="1"/>
  <c r="R341" i="1"/>
  <c r="S341" i="1" s="1"/>
  <c r="I342" i="1"/>
  <c r="J342" i="1" s="1"/>
  <c r="K343" i="1" l="1"/>
  <c r="L343" i="1" s="1"/>
  <c r="M344" i="1" s="1"/>
  <c r="N343" i="1"/>
  <c r="O343" i="1" s="1"/>
  <c r="G343" i="1"/>
  <c r="H342" i="1"/>
  <c r="P343" i="1" l="1"/>
  <c r="Q343" i="1" s="1"/>
  <c r="I343" i="1"/>
  <c r="J343" i="1" s="1"/>
  <c r="R342" i="1"/>
  <c r="S342" i="1" s="1"/>
  <c r="H343" i="1"/>
  <c r="R343" i="1" l="1"/>
  <c r="S343" i="1" s="1"/>
  <c r="I344" i="1"/>
  <c r="H344" i="1"/>
  <c r="G344" i="1"/>
  <c r="P344" i="1" s="1"/>
  <c r="K344" i="1"/>
  <c r="L344" i="1" s="1"/>
  <c r="M345" i="1" s="1"/>
  <c r="N344" i="1"/>
  <c r="O344" i="1" s="1"/>
  <c r="Q344" i="1" l="1"/>
  <c r="J344" i="1"/>
  <c r="I345" i="1"/>
  <c r="N345" i="1" l="1"/>
  <c r="O345" i="1" s="1"/>
  <c r="G345" i="1"/>
  <c r="K345" i="1"/>
  <c r="L345" i="1" s="1"/>
  <c r="M346" i="1" s="1"/>
  <c r="R344" i="1"/>
  <c r="S344" i="1" s="1"/>
  <c r="J345" i="1" l="1"/>
  <c r="P345" i="1"/>
  <c r="Q345" i="1" s="1"/>
  <c r="H345" i="1"/>
  <c r="R345" i="1" l="1"/>
  <c r="S345" i="1" s="1"/>
  <c r="I346" i="1"/>
  <c r="N346" i="1"/>
  <c r="O346" i="1" s="1"/>
  <c r="K346" i="1"/>
  <c r="L346" i="1" s="1"/>
  <c r="M347" i="1" s="1"/>
  <c r="G346" i="1"/>
  <c r="P346" i="1" s="1"/>
  <c r="Q346" i="1" s="1"/>
  <c r="J346" i="1" l="1"/>
  <c r="H346" i="1"/>
  <c r="K347" i="1" l="1"/>
  <c r="L347" i="1" s="1"/>
  <c r="M348" i="1" s="1"/>
  <c r="G347" i="1"/>
  <c r="N347" i="1"/>
  <c r="O347" i="1" s="1"/>
  <c r="R346" i="1"/>
  <c r="S346" i="1" s="1"/>
  <c r="I347" i="1"/>
  <c r="J347" i="1" l="1"/>
  <c r="H347" i="1"/>
  <c r="P347" i="1"/>
  <c r="Q347" i="1" s="1"/>
  <c r="I348" i="1" l="1"/>
  <c r="R347" i="1"/>
  <c r="S347" i="1" s="1"/>
  <c r="N348" i="1"/>
  <c r="O348" i="1" s="1"/>
  <c r="K348" i="1"/>
  <c r="L348" i="1" s="1"/>
  <c r="M349" i="1" s="1"/>
  <c r="G348" i="1"/>
  <c r="P348" i="1" s="1"/>
  <c r="Q348" i="1" s="1"/>
  <c r="J348" i="1" l="1"/>
  <c r="K349" i="1" s="1"/>
  <c r="L349" i="1" s="1"/>
  <c r="M350" i="1" s="1"/>
  <c r="H348" i="1"/>
  <c r="I349" i="1" s="1"/>
  <c r="G349" i="1" l="1"/>
  <c r="N349" i="1"/>
  <c r="O349" i="1" s="1"/>
  <c r="R348" i="1"/>
  <c r="S348" i="1" s="1"/>
  <c r="J349" i="1"/>
  <c r="G350" i="1" s="1"/>
  <c r="H349" i="1"/>
  <c r="K350" i="1"/>
  <c r="L350" i="1" s="1"/>
  <c r="M351" i="1" s="1"/>
  <c r="I350" i="1"/>
  <c r="P349" i="1"/>
  <c r="Q349" i="1" s="1"/>
  <c r="N350" i="1" l="1"/>
  <c r="O350" i="1" s="1"/>
  <c r="H350" i="1"/>
  <c r="I351" i="1" s="1"/>
  <c r="P350" i="1"/>
  <c r="Q350" i="1" s="1"/>
  <c r="R349" i="1"/>
  <c r="J350" i="1"/>
  <c r="N351" i="1" s="1"/>
  <c r="O351" i="1" s="1"/>
  <c r="S349" i="1"/>
  <c r="R350" i="1" l="1"/>
  <c r="S350" i="1" s="1"/>
  <c r="K351" i="1"/>
  <c r="L351" i="1" s="1"/>
  <c r="M352" i="1" s="1"/>
  <c r="G351" i="1"/>
  <c r="H351" i="1" s="1"/>
  <c r="P351" i="1"/>
  <c r="Q351" i="1" s="1"/>
  <c r="J351" i="1" l="1"/>
  <c r="N352" i="1" s="1"/>
  <c r="O352" i="1" s="1"/>
  <c r="I352" i="1"/>
  <c r="K352" i="1" l="1"/>
  <c r="L352" i="1" s="1"/>
  <c r="M353" i="1" s="1"/>
  <c r="G352" i="1"/>
  <c r="P352" i="1" s="1"/>
  <c r="Q352" i="1" s="1"/>
  <c r="R351" i="1"/>
  <c r="S351" i="1" s="1"/>
  <c r="H352" i="1"/>
  <c r="J352" i="1" l="1"/>
  <c r="G353" i="1" s="1"/>
  <c r="P353" i="1" s="1"/>
  <c r="I353" i="1"/>
  <c r="R352" i="1" l="1"/>
  <c r="S352" i="1" s="1"/>
  <c r="K353" i="1"/>
  <c r="L353" i="1" s="1"/>
  <c r="M354" i="1" s="1"/>
  <c r="J353" i="1"/>
  <c r="G354" i="1" s="1"/>
  <c r="H354" i="1" s="1"/>
  <c r="N353" i="1"/>
  <c r="O353" i="1" s="1"/>
  <c r="N354" i="1"/>
  <c r="O354" i="1" s="1"/>
  <c r="Q353" i="1"/>
  <c r="K354" i="1"/>
  <c r="L354" i="1" s="1"/>
  <c r="M355" i="1" s="1"/>
  <c r="H353" i="1"/>
  <c r="I354" i="1" s="1"/>
  <c r="P354" i="1"/>
  <c r="Q354" i="1" s="1"/>
  <c r="J354" i="1" l="1"/>
  <c r="R354" i="1" s="1"/>
  <c r="S354" i="1" s="1"/>
  <c r="R353" i="1"/>
  <c r="S353" i="1" s="1"/>
  <c r="I355" i="1"/>
  <c r="G355" i="1" l="1"/>
  <c r="P355" i="1" s="1"/>
  <c r="Q355" i="1" s="1"/>
  <c r="N355" i="1"/>
  <c r="O355" i="1" s="1"/>
  <c r="K355" i="1"/>
  <c r="L355" i="1" s="1"/>
  <c r="M356" i="1" s="1"/>
  <c r="H355" i="1" l="1"/>
  <c r="J355" i="1"/>
  <c r="K356" i="1" s="1"/>
  <c r="L356" i="1" s="1"/>
  <c r="M357" i="1" s="1"/>
  <c r="I356" i="1"/>
  <c r="R355" i="1" l="1"/>
  <c r="S355" i="1" s="1"/>
  <c r="G356" i="1"/>
  <c r="P356" i="1" s="1"/>
  <c r="N356" i="1"/>
  <c r="O356" i="1" s="1"/>
  <c r="H356" i="1"/>
  <c r="I357" i="1" s="1"/>
  <c r="J356" i="1" l="1"/>
  <c r="R356" i="1" s="1"/>
  <c r="Q356" i="1"/>
  <c r="S356" i="1" l="1"/>
  <c r="G357" i="1"/>
  <c r="K357" i="1"/>
  <c r="L357" i="1" s="1"/>
  <c r="M358" i="1" s="1"/>
  <c r="N357" i="1"/>
  <c r="O357" i="1" s="1"/>
  <c r="H357" i="1" l="1"/>
  <c r="P357" i="1"/>
  <c r="Q357" i="1" s="1"/>
  <c r="J357" i="1"/>
  <c r="G358" i="1" l="1"/>
  <c r="N358" i="1"/>
  <c r="O358" i="1" s="1"/>
  <c r="K358" i="1"/>
  <c r="L358" i="1" s="1"/>
  <c r="M359" i="1" s="1"/>
  <c r="R357" i="1"/>
  <c r="S357" i="1" s="1"/>
  <c r="I358" i="1"/>
  <c r="J358" i="1" l="1"/>
  <c r="N359" i="1" s="1"/>
  <c r="O359" i="1" s="1"/>
  <c r="H358" i="1"/>
  <c r="P358" i="1"/>
  <c r="Q358" i="1" s="1"/>
  <c r="K359" i="1" l="1"/>
  <c r="L359" i="1" s="1"/>
  <c r="M360" i="1" s="1"/>
  <c r="G359" i="1"/>
  <c r="P359" i="1" s="1"/>
  <c r="Q359" i="1" s="1"/>
  <c r="I359" i="1"/>
  <c r="R358" i="1"/>
  <c r="S358" i="1" s="1"/>
  <c r="H359" i="1" l="1"/>
  <c r="J359" i="1"/>
  <c r="N360" i="1" l="1"/>
  <c r="O360" i="1" s="1"/>
  <c r="G360" i="1"/>
  <c r="K360" i="1"/>
  <c r="L360" i="1" s="1"/>
  <c r="M361" i="1" s="1"/>
  <c r="I360" i="1"/>
  <c r="R359" i="1"/>
  <c r="S359" i="1" s="1"/>
  <c r="J360" i="1" l="1"/>
  <c r="H360" i="1"/>
  <c r="P360" i="1"/>
  <c r="Q360" i="1" s="1"/>
  <c r="G361" i="1" l="1"/>
  <c r="N361" i="1"/>
  <c r="O361" i="1" s="1"/>
  <c r="K361" i="1"/>
  <c r="L361" i="1" s="1"/>
  <c r="M362" i="1" s="1"/>
  <c r="R360" i="1"/>
  <c r="S360" i="1" s="1"/>
  <c r="I361" i="1"/>
  <c r="J361" i="1" s="1"/>
  <c r="G362" i="1" l="1"/>
  <c r="P362" i="1" s="1"/>
  <c r="Q362" i="1" s="1"/>
  <c r="N362" i="1"/>
  <c r="O362" i="1" s="1"/>
  <c r="K362" i="1"/>
  <c r="L362" i="1" s="1"/>
  <c r="M363" i="1" s="1"/>
  <c r="P361" i="1"/>
  <c r="Q361" i="1" s="1"/>
  <c r="H361" i="1"/>
  <c r="I362" i="1" l="1"/>
  <c r="R361" i="1"/>
  <c r="S361" i="1" s="1"/>
  <c r="J362" i="1" l="1"/>
  <c r="H362" i="1"/>
  <c r="R362" i="1" l="1"/>
  <c r="S362" i="1" s="1"/>
  <c r="I363" i="1"/>
  <c r="G363" i="1"/>
  <c r="K363" i="1"/>
  <c r="L363" i="1" s="1"/>
  <c r="M364" i="1" s="1"/>
  <c r="N363" i="1"/>
  <c r="O363" i="1" s="1"/>
  <c r="H363" i="1" l="1"/>
  <c r="P363" i="1"/>
  <c r="Q363" i="1" s="1"/>
  <c r="J363" i="1"/>
  <c r="R363" i="1" l="1"/>
  <c r="S363" i="1" s="1"/>
  <c r="I364" i="1"/>
  <c r="N364" i="1"/>
  <c r="O364" i="1" s="1"/>
  <c r="G364" i="1"/>
  <c r="P364" i="1" s="1"/>
  <c r="K364" i="1"/>
  <c r="L364" i="1" s="1"/>
  <c r="M365" i="1" s="1"/>
  <c r="J364" i="1" l="1"/>
  <c r="K365" i="1" s="1"/>
  <c r="L365" i="1" s="1"/>
  <c r="M366" i="1" s="1"/>
  <c r="Q364" i="1"/>
  <c r="G365" i="1"/>
  <c r="P365" i="1" s="1"/>
  <c r="H364" i="1"/>
  <c r="N365" i="1" l="1"/>
  <c r="O365" i="1" s="1"/>
  <c r="Q365" i="1" s="1"/>
  <c r="I365" i="1"/>
  <c r="R364" i="1"/>
  <c r="S364" i="1" s="1"/>
  <c r="H365" i="1"/>
  <c r="J365" i="1" l="1"/>
  <c r="G366" i="1" s="1"/>
  <c r="P366" i="1" s="1"/>
  <c r="I366" i="1"/>
  <c r="R365" i="1" l="1"/>
  <c r="S365" i="1" s="1"/>
  <c r="N366" i="1"/>
  <c r="O366" i="1" s="1"/>
  <c r="Q366" i="1" s="1"/>
  <c r="H366" i="1"/>
  <c r="K366" i="1"/>
  <c r="L366" i="1" s="1"/>
  <c r="M367" i="1" s="1"/>
  <c r="I367" i="1"/>
  <c r="J366" i="1"/>
  <c r="G367" i="1" l="1"/>
  <c r="K367" i="1"/>
  <c r="L367" i="1" s="1"/>
  <c r="M368" i="1" s="1"/>
  <c r="N367" i="1"/>
  <c r="O367" i="1" s="1"/>
  <c r="R366" i="1"/>
  <c r="S366" i="1" s="1"/>
  <c r="P367" i="1" l="1"/>
  <c r="Q367" i="1" s="1"/>
  <c r="H367" i="1"/>
  <c r="J367" i="1"/>
  <c r="N368" i="1" l="1"/>
  <c r="O368" i="1" s="1"/>
  <c r="G368" i="1"/>
  <c r="K368" i="1"/>
  <c r="L368" i="1" s="1"/>
  <c r="M369" i="1" s="1"/>
  <c r="I368" i="1"/>
  <c r="R367" i="1"/>
  <c r="S367" i="1" s="1"/>
  <c r="J368" i="1" l="1"/>
  <c r="G369" i="1" s="1"/>
  <c r="P369" i="1" s="1"/>
  <c r="P368" i="1"/>
  <c r="Q368" i="1" s="1"/>
  <c r="H368" i="1"/>
  <c r="N369" i="1" l="1"/>
  <c r="O369" i="1" s="1"/>
  <c r="Q369" i="1" s="1"/>
  <c r="K369" i="1"/>
  <c r="L369" i="1" s="1"/>
  <c r="M370" i="1" s="1"/>
  <c r="R368" i="1"/>
  <c r="S368" i="1" s="1"/>
  <c r="I369" i="1"/>
  <c r="J369" i="1" l="1"/>
  <c r="H369" i="1"/>
  <c r="I370" i="1" l="1"/>
  <c r="R369" i="1"/>
  <c r="S369" i="1" s="1"/>
  <c r="G370" i="1"/>
  <c r="N370" i="1"/>
  <c r="O370" i="1" s="1"/>
  <c r="K370" i="1"/>
  <c r="L370" i="1" s="1"/>
  <c r="M371" i="1" s="1"/>
  <c r="P370" i="1" l="1"/>
  <c r="Q370" i="1" s="1"/>
  <c r="H370" i="1"/>
  <c r="I371" i="1" s="1"/>
  <c r="J370" i="1"/>
  <c r="R370" i="1" l="1"/>
  <c r="S370" i="1" s="1"/>
  <c r="K371" i="1"/>
  <c r="L371" i="1" s="1"/>
  <c r="M372" i="1" s="1"/>
  <c r="N371" i="1"/>
  <c r="O371" i="1" s="1"/>
  <c r="G371" i="1"/>
  <c r="J371" i="1" l="1"/>
  <c r="G372" i="1" s="1"/>
  <c r="P372" i="1" s="1"/>
  <c r="H371" i="1"/>
  <c r="P371" i="1"/>
  <c r="Q371" i="1" s="1"/>
  <c r="N372" i="1"/>
  <c r="O372" i="1" s="1"/>
  <c r="K372" i="1" l="1"/>
  <c r="L372" i="1" s="1"/>
  <c r="M373" i="1" s="1"/>
  <c r="Q372" i="1"/>
  <c r="I372" i="1"/>
  <c r="J372" i="1" s="1"/>
  <c r="R371" i="1"/>
  <c r="S371" i="1" s="1"/>
  <c r="H372" i="1"/>
  <c r="I373" i="1" l="1"/>
  <c r="R372" i="1"/>
  <c r="S372" i="1" s="1"/>
  <c r="N373" i="1"/>
  <c r="O373" i="1" s="1"/>
  <c r="K373" i="1"/>
  <c r="L373" i="1" s="1"/>
  <c r="M374" i="1" s="1"/>
  <c r="G373" i="1"/>
  <c r="P373" i="1" s="1"/>
  <c r="Q373" i="1" s="1"/>
  <c r="J373" i="1" l="1"/>
  <c r="N374" i="1" s="1"/>
  <c r="O374" i="1" s="1"/>
  <c r="H373" i="1"/>
  <c r="K374" i="1" l="1"/>
  <c r="L374" i="1" s="1"/>
  <c r="M375" i="1" s="1"/>
  <c r="G374" i="1"/>
  <c r="P374" i="1" s="1"/>
  <c r="Q374" i="1" s="1"/>
  <c r="I374" i="1"/>
  <c r="J374" i="1" s="1"/>
  <c r="R373" i="1"/>
  <c r="S373" i="1" s="1"/>
  <c r="H374" i="1"/>
  <c r="I375" i="1" l="1"/>
  <c r="R374" i="1"/>
  <c r="S374" i="1" s="1"/>
  <c r="G375" i="1"/>
  <c r="P375" i="1" s="1"/>
  <c r="Q375" i="1" s="1"/>
  <c r="N375" i="1"/>
  <c r="O375" i="1" s="1"/>
  <c r="K375" i="1"/>
  <c r="L375" i="1" s="1"/>
  <c r="M376" i="1" s="1"/>
  <c r="H375" i="1" l="1"/>
  <c r="J375" i="1"/>
  <c r="I376" i="1" l="1"/>
  <c r="R375" i="1"/>
  <c r="S375" i="1" s="1"/>
  <c r="N376" i="1"/>
  <c r="O376" i="1" s="1"/>
  <c r="G376" i="1"/>
  <c r="K376" i="1"/>
  <c r="L376" i="1" s="1"/>
  <c r="M377" i="1" s="1"/>
  <c r="J376" i="1" l="1"/>
  <c r="P376" i="1"/>
  <c r="Q376" i="1" s="1"/>
  <c r="H376" i="1"/>
  <c r="I377" i="1" l="1"/>
  <c r="R376" i="1"/>
  <c r="S376" i="1" s="1"/>
  <c r="K377" i="1"/>
  <c r="L377" i="1" s="1"/>
  <c r="M378" i="1" s="1"/>
  <c r="G377" i="1"/>
  <c r="N377" i="1"/>
  <c r="O377" i="1" s="1"/>
  <c r="P377" i="1" l="1"/>
  <c r="Q377" i="1" s="1"/>
  <c r="H377" i="1"/>
  <c r="J377" i="1"/>
  <c r="I378" i="1" l="1"/>
  <c r="R377" i="1"/>
  <c r="S377" i="1" s="1"/>
  <c r="K378" i="1"/>
  <c r="L378" i="1" s="1"/>
  <c r="M379" i="1" s="1"/>
  <c r="G378" i="1"/>
  <c r="N378" i="1"/>
  <c r="O378" i="1" s="1"/>
  <c r="J378" i="1" l="1"/>
  <c r="H378" i="1"/>
  <c r="P378" i="1"/>
  <c r="Q378" i="1" s="1"/>
  <c r="N379" i="1" l="1"/>
  <c r="O379" i="1" s="1"/>
  <c r="K379" i="1"/>
  <c r="L379" i="1" s="1"/>
  <c r="M380" i="1" s="1"/>
  <c r="G379" i="1"/>
  <c r="R378" i="1"/>
  <c r="S378" i="1" s="1"/>
  <c r="I379" i="1"/>
  <c r="H379" i="1" s="1"/>
  <c r="I380" i="1" l="1"/>
  <c r="J379" i="1"/>
  <c r="R379" i="1" s="1"/>
  <c r="P379" i="1"/>
  <c r="Q379" i="1" s="1"/>
  <c r="S379" i="1" l="1"/>
  <c r="G380" i="1"/>
  <c r="N380" i="1"/>
  <c r="O380" i="1" s="1"/>
  <c r="K380" i="1"/>
  <c r="L380" i="1" s="1"/>
  <c r="M381" i="1" s="1"/>
  <c r="H380" i="1" l="1"/>
  <c r="P380" i="1"/>
  <c r="Q380" i="1" s="1"/>
  <c r="J380" i="1"/>
  <c r="N381" i="1" l="1"/>
  <c r="O381" i="1" s="1"/>
  <c r="K381" i="1"/>
  <c r="L381" i="1" s="1"/>
  <c r="M382" i="1" s="1"/>
  <c r="G381" i="1"/>
  <c r="H381" i="1" s="1"/>
  <c r="I381" i="1"/>
  <c r="R380" i="1"/>
  <c r="S380" i="1" s="1"/>
  <c r="J381" i="1" l="1"/>
  <c r="G382" i="1" s="1"/>
  <c r="I382" i="1"/>
  <c r="P381" i="1"/>
  <c r="Q381" i="1" s="1"/>
  <c r="R381" i="1" l="1"/>
  <c r="N382" i="1"/>
  <c r="O382" i="1" s="1"/>
  <c r="H382" i="1"/>
  <c r="I383" i="1" s="1"/>
  <c r="P382" i="1"/>
  <c r="Q382" i="1" s="1"/>
  <c r="K382" i="1"/>
  <c r="L382" i="1" s="1"/>
  <c r="M383" i="1" s="1"/>
  <c r="S381" i="1"/>
  <c r="J382" i="1" l="1"/>
  <c r="K383" i="1" l="1"/>
  <c r="G383" i="1"/>
  <c r="R382" i="1"/>
  <c r="S382" i="1" s="1"/>
  <c r="N383" i="1"/>
  <c r="O383" i="1" s="1"/>
  <c r="P383" i="1" l="1"/>
  <c r="Q383" i="1" s="1"/>
  <c r="H383" i="1"/>
  <c r="L383" i="1"/>
  <c r="M384" i="1" s="1"/>
  <c r="J383" i="1"/>
  <c r="K384" i="1" l="1"/>
  <c r="L384" i="1" s="1"/>
  <c r="M385" i="1" s="1"/>
  <c r="N384" i="1"/>
  <c r="O384" i="1" s="1"/>
  <c r="G384" i="1"/>
  <c r="I384" i="1"/>
  <c r="R383" i="1"/>
  <c r="S383" i="1" s="1"/>
  <c r="J384" i="1" l="1"/>
  <c r="G385" i="1" s="1"/>
  <c r="P385" i="1" s="1"/>
  <c r="P384" i="1"/>
  <c r="Q384" i="1" s="1"/>
  <c r="H384" i="1"/>
  <c r="K385" i="1" l="1"/>
  <c r="L385" i="1" s="1"/>
  <c r="M386" i="1" s="1"/>
  <c r="N385" i="1"/>
  <c r="O385" i="1" s="1"/>
  <c r="Q385" i="1" s="1"/>
  <c r="I385" i="1"/>
  <c r="R384" i="1"/>
  <c r="S384" i="1" s="1"/>
  <c r="J385" i="1" l="1"/>
  <c r="H385" i="1"/>
  <c r="K386" i="1" l="1"/>
  <c r="L386" i="1" s="1"/>
  <c r="M387" i="1" s="1"/>
  <c r="G386" i="1"/>
  <c r="N386" i="1"/>
  <c r="O386" i="1" s="1"/>
  <c r="I386" i="1"/>
  <c r="R385" i="1"/>
  <c r="S385" i="1" s="1"/>
  <c r="J386" i="1" l="1"/>
  <c r="K387" i="1" s="1"/>
  <c r="L387" i="1" s="1"/>
  <c r="M388" i="1" s="1"/>
  <c r="P386" i="1"/>
  <c r="Q386" i="1" s="1"/>
  <c r="H386" i="1"/>
  <c r="G387" i="1" l="1"/>
  <c r="P387" i="1" s="1"/>
  <c r="N387" i="1"/>
  <c r="O387" i="1" s="1"/>
  <c r="I387" i="1"/>
  <c r="J387" i="1" s="1"/>
  <c r="K388" i="1" s="1"/>
  <c r="L388" i="1" s="1"/>
  <c r="M389" i="1" s="1"/>
  <c r="R386" i="1"/>
  <c r="S386" i="1" s="1"/>
  <c r="H387" i="1"/>
  <c r="R387" i="1" s="1"/>
  <c r="I388" i="1" l="1"/>
  <c r="J388" i="1" s="1"/>
  <c r="N388" i="1"/>
  <c r="O388" i="1" s="1"/>
  <c r="Q387" i="1"/>
  <c r="S387" i="1" s="1"/>
  <c r="G388" i="1"/>
  <c r="P388" i="1"/>
  <c r="Q388" i="1" s="1"/>
  <c r="H388" i="1" l="1"/>
  <c r="R388" i="1" s="1"/>
  <c r="S388" i="1" s="1"/>
  <c r="N389" i="1"/>
  <c r="O389" i="1" s="1"/>
  <c r="G389" i="1"/>
  <c r="K389" i="1"/>
  <c r="L389" i="1" s="1"/>
  <c r="M390" i="1" s="1"/>
  <c r="I389" i="1"/>
  <c r="J389" i="1" l="1"/>
  <c r="K390" i="1" s="1"/>
  <c r="L390" i="1" s="1"/>
  <c r="M391" i="1" s="1"/>
  <c r="P389" i="1"/>
  <c r="Q389" i="1" s="1"/>
  <c r="H389" i="1"/>
  <c r="G390" i="1" l="1"/>
  <c r="P390" i="1" s="1"/>
  <c r="Q390" i="1" s="1"/>
  <c r="N390" i="1"/>
  <c r="O390" i="1" s="1"/>
  <c r="I390" i="1"/>
  <c r="R389" i="1"/>
  <c r="S389" i="1" s="1"/>
  <c r="J390" i="1" l="1"/>
  <c r="H390" i="1"/>
  <c r="I391" i="1" l="1"/>
  <c r="R390" i="1"/>
  <c r="S390" i="1" s="1"/>
  <c r="G391" i="1"/>
  <c r="K391" i="1"/>
  <c r="L391" i="1" s="1"/>
  <c r="M392" i="1" s="1"/>
  <c r="N391" i="1"/>
  <c r="O391" i="1" s="1"/>
  <c r="J391" i="1" l="1"/>
  <c r="N392" i="1" s="1"/>
  <c r="O392" i="1" s="1"/>
  <c r="P391" i="1"/>
  <c r="Q391" i="1" s="1"/>
  <c r="H391" i="1"/>
  <c r="K392" i="1" l="1"/>
  <c r="L392" i="1" s="1"/>
  <c r="M393" i="1" s="1"/>
  <c r="G392" i="1"/>
  <c r="P392" i="1" s="1"/>
  <c r="Q392" i="1" s="1"/>
  <c r="I392" i="1"/>
  <c r="J392" i="1" s="1"/>
  <c r="R391" i="1"/>
  <c r="S391" i="1" s="1"/>
  <c r="H392" i="1" l="1"/>
  <c r="I393" i="1" s="1"/>
  <c r="K393" i="1"/>
  <c r="L393" i="1" s="1"/>
  <c r="M394" i="1" s="1"/>
  <c r="N393" i="1"/>
  <c r="O393" i="1" s="1"/>
  <c r="G393" i="1"/>
  <c r="H393" i="1" l="1"/>
  <c r="I394" i="1" s="1"/>
  <c r="R392" i="1"/>
  <c r="S392" i="1" s="1"/>
  <c r="J393" i="1"/>
  <c r="N394" i="1" s="1"/>
  <c r="O394" i="1" s="1"/>
  <c r="P393" i="1"/>
  <c r="Q393" i="1" s="1"/>
  <c r="K394" i="1" l="1"/>
  <c r="L394" i="1" s="1"/>
  <c r="M395" i="1" s="1"/>
  <c r="R393" i="1"/>
  <c r="G394" i="1"/>
  <c r="P394" i="1" s="1"/>
  <c r="Q394" i="1" s="1"/>
  <c r="S393" i="1"/>
  <c r="H394" i="1" l="1"/>
  <c r="R394" i="1" s="1"/>
  <c r="S394" i="1" s="1"/>
  <c r="J394" i="1"/>
  <c r="I395" i="1" l="1"/>
  <c r="K395" i="1"/>
  <c r="L395" i="1" s="1"/>
  <c r="M396" i="1" s="1"/>
  <c r="G395" i="1"/>
  <c r="N395" i="1"/>
  <c r="O395" i="1" s="1"/>
  <c r="J395" i="1" l="1"/>
  <c r="P395" i="1"/>
  <c r="Q395" i="1" s="1"/>
  <c r="H395" i="1"/>
  <c r="I396" i="1" l="1"/>
  <c r="R395" i="1"/>
  <c r="S395" i="1" s="1"/>
  <c r="N396" i="1"/>
  <c r="O396" i="1" s="1"/>
  <c r="K396" i="1"/>
  <c r="L396" i="1" s="1"/>
  <c r="M397" i="1" s="1"/>
  <c r="G396" i="1"/>
  <c r="H396" i="1" l="1"/>
  <c r="P396" i="1"/>
  <c r="Q396" i="1" s="1"/>
  <c r="J396" i="1"/>
  <c r="N397" i="1" l="1"/>
  <c r="O397" i="1" s="1"/>
  <c r="K397" i="1"/>
  <c r="L397" i="1" s="1"/>
  <c r="M398" i="1" s="1"/>
  <c r="G397" i="1"/>
  <c r="I397" i="1"/>
  <c r="R396" i="1"/>
  <c r="S396" i="1" s="1"/>
  <c r="J397" i="1" l="1"/>
  <c r="K398" i="1" s="1"/>
  <c r="L398" i="1" s="1"/>
  <c r="M399" i="1" s="1"/>
  <c r="H397" i="1"/>
  <c r="P397" i="1"/>
  <c r="Q397" i="1" s="1"/>
  <c r="N398" i="1" l="1"/>
  <c r="O398" i="1" s="1"/>
  <c r="G398" i="1"/>
  <c r="P398" i="1" s="1"/>
  <c r="Q398" i="1" s="1"/>
  <c r="I398" i="1"/>
  <c r="R397" i="1"/>
  <c r="S397" i="1" s="1"/>
  <c r="J398" i="1" l="1"/>
  <c r="H398" i="1"/>
  <c r="K399" i="1" l="1"/>
  <c r="L399" i="1" s="1"/>
  <c r="M400" i="1" s="1"/>
  <c r="N399" i="1"/>
  <c r="O399" i="1" s="1"/>
  <c r="G399" i="1"/>
  <c r="R398" i="1"/>
  <c r="S398" i="1" s="1"/>
  <c r="I399" i="1"/>
  <c r="J399" i="1" s="1"/>
  <c r="N400" i="1" l="1"/>
  <c r="O400" i="1" s="1"/>
  <c r="K400" i="1"/>
  <c r="L400" i="1" s="1"/>
  <c r="M401" i="1" s="1"/>
  <c r="G400" i="1"/>
  <c r="P400" i="1" s="1"/>
  <c r="Q400" i="1" s="1"/>
  <c r="P399" i="1"/>
  <c r="Q399" i="1" s="1"/>
  <c r="H399" i="1"/>
  <c r="I400" i="1" l="1"/>
  <c r="J400" i="1" s="1"/>
  <c r="R399" i="1"/>
  <c r="S399" i="1" s="1"/>
  <c r="H400" i="1" l="1"/>
  <c r="K401" i="1"/>
  <c r="L401" i="1" s="1"/>
  <c r="M402" i="1" s="1"/>
  <c r="N401" i="1"/>
  <c r="O401" i="1" s="1"/>
  <c r="G401" i="1"/>
  <c r="P401" i="1" s="1"/>
  <c r="Q401" i="1" s="1"/>
  <c r="I401" i="1"/>
  <c r="R400" i="1"/>
  <c r="S400" i="1" s="1"/>
  <c r="J401" i="1" l="1"/>
  <c r="N402" i="1" s="1"/>
  <c r="O402" i="1" s="1"/>
  <c r="H401" i="1"/>
  <c r="K402" i="1" l="1"/>
  <c r="L402" i="1" s="1"/>
  <c r="G402" i="1"/>
  <c r="P402" i="1" s="1"/>
  <c r="Q402" i="1" s="1"/>
  <c r="R401" i="1"/>
  <c r="S401" i="1" s="1"/>
  <c r="I402" i="1"/>
  <c r="J402" i="1" l="1"/>
  <c r="H402" i="1"/>
  <c r="R402" i="1" l="1"/>
  <c r="S402" i="1" s="1"/>
</calcChain>
</file>

<file path=xl/sharedStrings.xml><?xml version="1.0" encoding="utf-8"?>
<sst xmlns="http://schemas.openxmlformats.org/spreadsheetml/2006/main" count="32" uniqueCount="26">
  <si>
    <t>Init.Population</t>
  </si>
  <si>
    <t>People</t>
  </si>
  <si>
    <t>Birth Rate</t>
  </si>
  <si>
    <t>Time Step</t>
  </si>
  <si>
    <t>Mature</t>
  </si>
  <si>
    <t>Birth</t>
  </si>
  <si>
    <t>Aging</t>
  </si>
  <si>
    <t>Young, people</t>
  </si>
  <si>
    <t>Adult, people</t>
  </si>
  <si>
    <t>Old,  people</t>
  </si>
  <si>
    <t>Death_Old,  people</t>
  </si>
  <si>
    <t>Death_Adult,  people</t>
  </si>
  <si>
    <t>Birth All,  people</t>
  </si>
  <si>
    <t>Gap</t>
  </si>
  <si>
    <t>Expected population,  people</t>
  </si>
  <si>
    <t>Total population,  people</t>
  </si>
  <si>
    <t>Year</t>
  </si>
  <si>
    <t>Mature time</t>
  </si>
  <si>
    <t>Aging time</t>
  </si>
  <si>
    <t>Death Rate Old</t>
  </si>
  <si>
    <t>Death Rate Adult</t>
  </si>
  <si>
    <t>Young Init</t>
  </si>
  <si>
    <t>Adult Init</t>
  </si>
  <si>
    <t>Old Init</t>
  </si>
  <si>
    <t>Death All,  people</t>
  </si>
  <si>
    <t>Final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</si>
</sst>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2" borderId="0" xfId="0" applyFont="1" applyFill="1" applyBorder="1" applyAlignment="1" applyProtection="1">
      <alignment horizontal="left" vertical="center" wrapText="1"/>
      <protection hidden="1"/>
    </xf>
    <xf numFmtId="0" fontId="1" fillId="2" borderId="0" xfId="0" applyFont="1" applyFill="1" applyBorder="1" applyAlignment="1" applyProtection="1">
      <alignment horizontal="center" vertical="center" wrapText="1"/>
      <protection hidden="1"/>
    </xf>
    <xf numFmtId="4" fontId="1" fillId="0" borderId="0" xfId="0" applyNumberFormat="1" applyFont="1" applyAlignment="1" applyProtection="1">
      <alignment horizontal="center" vertical="center" wrapText="1"/>
      <protection hidden="1"/>
    </xf>
    <xf numFmtId="2" fontId="1" fillId="0" borderId="0" xfId="0" applyNumberFormat="1" applyFont="1" applyAlignment="1" applyProtection="1">
      <alignment horizontal="center" vertical="center" wrapText="1"/>
      <protection hidden="1"/>
    </xf>
    <xf numFmtId="0" fontId="1" fillId="3" borderId="0" xfId="0" applyFont="1" applyFill="1" applyBorder="1" applyAlignment="1" applyProtection="1">
      <alignment horizontal="center" vertical="center" wrapText="1"/>
      <protection hidden="1"/>
    </xf>
    <xf numFmtId="0" fontId="1" fillId="3" borderId="0" xfId="0" applyFont="1" applyFill="1" applyBorder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3" borderId="0" xfId="0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81981984909251"/>
          <c:y val="4.1317196999066129E-2"/>
          <c:w val="0.85219422138641698"/>
          <c:h val="0.79410493704124796"/>
        </c:manualLayout>
      </c:layout>
      <c:lineChart>
        <c:grouping val="standard"/>
        <c:varyColors val="0"/>
        <c:ser>
          <c:idx val="0"/>
          <c:order val="0"/>
          <c:tx>
            <c:strRef>
              <c:f>DSM!$H$1</c:f>
              <c:strCache>
                <c:ptCount val="1"/>
                <c:pt idx="0">
                  <c:v>Young, people</c:v>
                </c:pt>
              </c:strCache>
            </c:strRef>
          </c:tx>
          <c:marker>
            <c:symbol val="none"/>
          </c:marker>
          <c:cat>
            <c:numRef>
              <c:f>DSM!$F$2:$F$402</c:f>
              <c:numCache>
                <c:formatCode>0.00</c:formatCode>
                <c:ptCount val="4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</c:numCache>
            </c:numRef>
          </c:cat>
          <c:val>
            <c:numRef>
              <c:f>DSM!$H$2:$H$401</c:f>
              <c:numCache>
                <c:formatCode>0.00</c:formatCode>
                <c:ptCount val="400"/>
                <c:pt idx="0" formatCode="General">
                  <c:v>300</c:v>
                </c:pt>
                <c:pt idx="1">
                  <c:v>305</c:v>
                </c:pt>
                <c:pt idx="2">
                  <c:v>309.89375000000001</c:v>
                </c:pt>
                <c:pt idx="3">
                  <c:v>314.68350781250001</c:v>
                </c:pt>
                <c:pt idx="4">
                  <c:v>319.37148327148441</c:v>
                </c:pt>
                <c:pt idx="5">
                  <c:v>323.95983925196538</c:v>
                </c:pt>
                <c:pt idx="6">
                  <c:v>328.45069266786112</c:v>
                </c:pt>
                <c:pt idx="7">
                  <c:v>332.84611544866908</c:v>
                </c:pt>
                <c:pt idx="8">
                  <c:v>337.14813549538485</c:v>
                </c:pt>
                <c:pt idx="9">
                  <c:v>341.35873761610793</c:v>
                </c:pt>
                <c:pt idx="10">
                  <c:v>345.47986444176564</c:v>
                </c:pt>
                <c:pt idx="11">
                  <c:v>349.51341732237813</c:v>
                </c:pt>
                <c:pt idx="12">
                  <c:v>353.46125720427762</c:v>
                </c:pt>
                <c:pt idx="13">
                  <c:v>357.32520548868672</c:v>
                </c:pt>
                <c:pt idx="14">
                  <c:v>361.10704487205214</c:v>
                </c:pt>
                <c:pt idx="15">
                  <c:v>364.80852016852106</c:v>
                </c:pt>
                <c:pt idx="16">
                  <c:v>368.43133911493999</c:v>
                </c:pt>
                <c:pt idx="17">
                  <c:v>371.97717315874752</c:v>
                </c:pt>
                <c:pt idx="18">
                  <c:v>375.44765822912416</c:v>
                </c:pt>
                <c:pt idx="19">
                  <c:v>378.84439549175528</c:v>
                </c:pt>
                <c:pt idx="20">
                  <c:v>382.16895208755545</c:v>
                </c:pt>
                <c:pt idx="21">
                  <c:v>385.42286185569492</c:v>
                </c:pt>
                <c:pt idx="22">
                  <c:v>388.60762604126143</c:v>
                </c:pt>
                <c:pt idx="23">
                  <c:v>391.72471398788463</c:v>
                </c:pt>
                <c:pt idx="24">
                  <c:v>394.7755638156421</c:v>
                </c:pt>
                <c:pt idx="25">
                  <c:v>397.76158308455973</c:v>
                </c:pt>
                <c:pt idx="26">
                  <c:v>400.68414944401286</c:v>
                </c:pt>
                <c:pt idx="27">
                  <c:v>403.54461126832757</c:v>
                </c:pt>
                <c:pt idx="28">
                  <c:v>406.34428827887564</c:v>
                </c:pt>
                <c:pt idx="29">
                  <c:v>409.08447215294956</c:v>
                </c:pt>
                <c:pt idx="30">
                  <c:v>411.76642711969936</c:v>
                </c:pt>
                <c:pt idx="31">
                  <c:v>414.39139054340575</c:v>
                </c:pt>
                <c:pt idx="32">
                  <c:v>416.96057349435836</c:v>
                </c:pt>
                <c:pt idx="33">
                  <c:v>419.47516130760323</c:v>
                </c:pt>
                <c:pt idx="34">
                  <c:v>421.93631412981665</c:v>
                </c:pt>
                <c:pt idx="35">
                  <c:v>424.34516745455807</c:v>
                </c:pt>
                <c:pt idx="36">
                  <c:v>426.70283264614869</c:v>
                </c:pt>
                <c:pt idx="37">
                  <c:v>429.01039745241803</c:v>
                </c:pt>
                <c:pt idx="38">
                  <c:v>431.26892650655418</c:v>
                </c:pt>
                <c:pt idx="39">
                  <c:v>433.47946181828991</c:v>
                </c:pt>
                <c:pt idx="40">
                  <c:v>435.64302325465127</c:v>
                </c:pt>
                <c:pt idx="41">
                  <c:v>437.76060901048993</c:v>
                </c:pt>
                <c:pt idx="42">
                  <c:v>439.83319606901705</c:v>
                </c:pt>
                <c:pt idx="43">
                  <c:v>441.86174065255045</c:v>
                </c:pt>
                <c:pt idx="44">
                  <c:v>443.84717866368374</c:v>
                </c:pt>
                <c:pt idx="45">
                  <c:v>445.79042611708047</c:v>
                </c:pt>
                <c:pt idx="46">
                  <c:v>447.69237956209253</c:v>
                </c:pt>
                <c:pt idx="47">
                  <c:v>449.55391649639807</c:v>
                </c:pt>
                <c:pt idx="48">
                  <c:v>451.37589577084964</c:v>
                </c:pt>
                <c:pt idx="49">
                  <c:v>453.1591579857191</c:v>
                </c:pt>
                <c:pt idx="50">
                  <c:v>454.90452587852258</c:v>
                </c:pt>
                <c:pt idx="51">
                  <c:v>456.61280470360396</c:v>
                </c:pt>
                <c:pt idx="52">
                  <c:v>458.28478260365239</c:v>
                </c:pt>
                <c:pt idx="53">
                  <c:v>459.92123097332478</c:v>
                </c:pt>
                <c:pt idx="54">
                  <c:v>461.52290481514166</c:v>
                </c:pt>
                <c:pt idx="55">
                  <c:v>463.09054308781992</c:v>
                </c:pt>
                <c:pt idx="56">
                  <c:v>464.62486904720373</c:v>
                </c:pt>
                <c:pt idx="57">
                  <c:v>466.12659057995063</c:v>
                </c:pt>
                <c:pt idx="58">
                  <c:v>467.59640053012669</c:v>
                </c:pt>
                <c:pt idx="59">
                  <c:v>469.03497701886153</c:v>
                </c:pt>
                <c:pt idx="60">
                  <c:v>470.4429837572107</c:v>
                </c:pt>
                <c:pt idx="61">
                  <c:v>471.82107035236999</c:v>
                </c:pt>
                <c:pt idx="62">
                  <c:v>473.1698726073821</c:v>
                </c:pt>
                <c:pt idx="63">
                  <c:v>474.49001281447522</c:v>
                </c:pt>
                <c:pt idx="64">
                  <c:v>475.7821000421676</c:v>
                </c:pt>
                <c:pt idx="65">
                  <c:v>477.04673041627154</c:v>
                </c:pt>
                <c:pt idx="66">
                  <c:v>478.2844873949258</c:v>
                </c:pt>
                <c:pt idx="67">
                  <c:v>479.49594203778366</c:v>
                </c:pt>
                <c:pt idx="68">
                  <c:v>480.68165326948076</c:v>
                </c:pt>
                <c:pt idx="69">
                  <c:v>481.8421681375043</c:v>
                </c:pt>
                <c:pt idx="70">
                  <c:v>482.97802206458232</c:v>
                </c:pt>
                <c:pt idx="71">
                  <c:v>484.08973909570994</c:v>
                </c:pt>
                <c:pt idx="72">
                  <c:v>485.17783213992612</c:v>
                </c:pt>
                <c:pt idx="73">
                  <c:v>486.24280320695271</c:v>
                </c:pt>
                <c:pt idx="74">
                  <c:v>487.28514363880498</c:v>
                </c:pt>
                <c:pt idx="75">
                  <c:v>488.30533433648037</c:v>
                </c:pt>
                <c:pt idx="76">
                  <c:v>489.30384598183019</c:v>
                </c:pt>
                <c:pt idx="77">
                  <c:v>490.28113925471632</c:v>
                </c:pt>
                <c:pt idx="78">
                  <c:v>491.23766504555363</c:v>
                </c:pt>
                <c:pt idx="79">
                  <c:v>492.17386466333562</c:v>
                </c:pt>
                <c:pt idx="80">
                  <c:v>493.09017003923975</c:v>
                </c:pt>
                <c:pt idx="81">
                  <c:v>493.98700392590592</c:v>
                </c:pt>
                <c:pt idx="82">
                  <c:v>494.86478009248043</c:v>
                </c:pt>
                <c:pt idx="83">
                  <c:v>495.72390351551525</c:v>
                </c:pt>
                <c:pt idx="84">
                  <c:v>496.56477056581053</c:v>
                </c:pt>
                <c:pt idx="85">
                  <c:v>497.38776919128708</c:v>
                </c:pt>
                <c:pt idx="86">
                  <c:v>498.19327909597223</c:v>
                </c:pt>
                <c:pt idx="87">
                  <c:v>498.9816719151828</c:v>
                </c:pt>
                <c:pt idx="88">
                  <c:v>499.75331138698516</c:v>
                </c:pt>
                <c:pt idx="89">
                  <c:v>500.50855352001173</c:v>
                </c:pt>
                <c:pt idx="90">
                  <c:v>501.24774675771147</c:v>
                </c:pt>
                <c:pt idx="91">
                  <c:v>501.9712321391101</c:v>
                </c:pt>
                <c:pt idx="92">
                  <c:v>502.67934345615402</c:v>
                </c:pt>
                <c:pt idx="93">
                  <c:v>503.37240740771074</c:v>
                </c:pt>
                <c:pt idx="94">
                  <c:v>504.05074375029687</c:v>
                </c:pt>
                <c:pt idx="95">
                  <c:v>504.71466544560309</c:v>
                </c:pt>
                <c:pt idx="96">
                  <c:v>505.36447880488402</c:v>
                </c:pt>
                <c:pt idx="97">
                  <c:v>506.00048363028026</c:v>
                </c:pt>
                <c:pt idx="98">
                  <c:v>506.62297335313679</c:v>
                </c:pt>
                <c:pt idx="99">
                  <c:v>507.23223516938265</c:v>
                </c:pt>
                <c:pt idx="100">
                  <c:v>507.82855017203326</c:v>
                </c:pt>
                <c:pt idx="101">
                  <c:v>508.41219348087753</c:v>
                </c:pt>
                <c:pt idx="102">
                  <c:v>508.98343436940888</c:v>
                </c:pt>
                <c:pt idx="103">
                  <c:v>509.54253638905897</c:v>
                </c:pt>
                <c:pt idx="104">
                  <c:v>510.08975749079144</c:v>
                </c:pt>
                <c:pt idx="105">
                  <c:v>510.62535014411213</c:v>
                </c:pt>
                <c:pt idx="106">
                  <c:v>511.14956145354978</c:v>
                </c:pt>
                <c:pt idx="107">
                  <c:v>511.66263327266188</c:v>
                </c:pt>
                <c:pt idx="108">
                  <c:v>512.16480231561786</c:v>
                </c:pt>
                <c:pt idx="109">
                  <c:v>512.65630026641099</c:v>
                </c:pt>
                <c:pt idx="110">
                  <c:v>513.1373538857498</c:v>
                </c:pt>
                <c:pt idx="111">
                  <c:v>513.60818511567766</c:v>
                </c:pt>
                <c:pt idx="112">
                  <c:v>514.06901118196947</c:v>
                </c:pt>
                <c:pt idx="113">
                  <c:v>514.52004469435258</c:v>
                </c:pt>
                <c:pt idx="114">
                  <c:v>514.96149374459765</c:v>
                </c:pt>
                <c:pt idx="115">
                  <c:v>515.39356200252496</c:v>
                </c:pt>
                <c:pt idx="116">
                  <c:v>515.81644880997135</c:v>
                </c:pt>
                <c:pt idx="117">
                  <c:v>516.23034927275944</c:v>
                </c:pt>
                <c:pt idx="118">
                  <c:v>516.6354543507133</c:v>
                </c:pt>
                <c:pt idx="119">
                  <c:v>517.03195094576063</c:v>
                </c:pt>
                <c:pt idx="120">
                  <c:v>517.42002198816317</c:v>
                </c:pt>
                <c:pt idx="121">
                  <c:v>517.79984652091468</c:v>
                </c:pt>
                <c:pt idx="122">
                  <c:v>518.1715997823452</c:v>
                </c:pt>
                <c:pt idx="123">
                  <c:v>518.53545328697032</c:v>
                </c:pt>
                <c:pt idx="124">
                  <c:v>518.89157490462219</c:v>
                </c:pt>
                <c:pt idx="125">
                  <c:v>519.24012893789893</c:v>
                </c:pt>
                <c:pt idx="126">
                  <c:v>519.58127619796858</c:v>
                </c:pt>
                <c:pt idx="127">
                  <c:v>519.91517407876177</c:v>
                </c:pt>
                <c:pt idx="128">
                  <c:v>520.24197662958807</c:v>
                </c:pt>
                <c:pt idx="129">
                  <c:v>520.56183462620936</c:v>
                </c:pt>
                <c:pt idx="130">
                  <c:v>520.87489564040243</c:v>
                </c:pt>
                <c:pt idx="131">
                  <c:v>521.18130410804383</c:v>
                </c:pt>
                <c:pt idx="132">
                  <c:v>521.48120139574792</c:v>
                </c:pt>
                <c:pt idx="133">
                  <c:v>521.77472586608826</c:v>
                </c:pt>
                <c:pt idx="134">
                  <c:v>522.06201294143386</c:v>
                </c:pt>
                <c:pt idx="135">
                  <c:v>522.34319516642836</c:v>
                </c:pt>
                <c:pt idx="136">
                  <c:v>522.61840226914171</c:v>
                </c:pt>
                <c:pt idx="137">
                  <c:v>522.88776122092247</c:v>
                </c:pt>
                <c:pt idx="138">
                  <c:v>523.15139629497787</c:v>
                </c:pt>
                <c:pt idx="139">
                  <c:v>523.40942912370963</c:v>
                </c:pt>
                <c:pt idx="140">
                  <c:v>523.66197875483078</c:v>
                </c:pt>
                <c:pt idx="141">
                  <c:v>523.90916170629066</c:v>
                </c:pt>
                <c:pt idx="142">
                  <c:v>524.15109202003202</c:v>
                </c:pt>
                <c:pt idx="143">
                  <c:v>524.38788131460637</c:v>
                </c:pt>
                <c:pt idx="144">
                  <c:v>524.61963883667102</c:v>
                </c:pt>
                <c:pt idx="145">
                  <c:v>524.84647151139177</c:v>
                </c:pt>
                <c:pt idx="146">
                  <c:v>525.06848399177466</c:v>
                </c:pt>
                <c:pt idx="147">
                  <c:v>525.28577870694949</c:v>
                </c:pt>
                <c:pt idx="148">
                  <c:v>525.49845590942687</c:v>
                </c:pt>
                <c:pt idx="149">
                  <c:v>525.70661372135157</c:v>
                </c:pt>
                <c:pt idx="150">
                  <c:v>525.91034817977288</c:v>
                </c:pt>
                <c:pt idx="151">
                  <c:v>526.10975328095276</c:v>
                </c:pt>
                <c:pt idx="152">
                  <c:v>526.3049210237325</c:v>
                </c:pt>
                <c:pt idx="153">
                  <c:v>526.49594145197818</c:v>
                </c:pt>
                <c:pt idx="154">
                  <c:v>526.68290269612362</c:v>
                </c:pt>
                <c:pt idx="155">
                  <c:v>526.86589101383095</c:v>
                </c:pt>
                <c:pt idx="156">
                  <c:v>527.04499082978703</c:v>
                </c:pt>
                <c:pt idx="157">
                  <c:v>527.22028477465403</c:v>
                </c:pt>
                <c:pt idx="158">
                  <c:v>527.39185372319264</c:v>
                </c:pt>
                <c:pt idx="159">
                  <c:v>527.55977683157482</c:v>
                </c:pt>
                <c:pt idx="160">
                  <c:v>527.72413157390383</c:v>
                </c:pt>
                <c:pt idx="161">
                  <c:v>527.88499377795836</c:v>
                </c:pt>
                <c:pt idx="162">
                  <c:v>528.04243766017669</c:v>
                </c:pt>
                <c:pt idx="163">
                  <c:v>528.19653585989795</c:v>
                </c:pt>
                <c:pt idx="164">
                  <c:v>528.34735947287516</c:v>
                </c:pt>
                <c:pt idx="165">
                  <c:v>528.49497808407659</c:v>
                </c:pt>
                <c:pt idx="166">
                  <c:v>528.63945979978996</c:v>
                </c:pt>
                <c:pt idx="167">
                  <c:v>528.78087127904439</c:v>
                </c:pt>
                <c:pt idx="168">
                  <c:v>528.91927776436467</c:v>
                </c:pt>
                <c:pt idx="169">
                  <c:v>529.05474311187186</c:v>
                </c:pt>
                <c:pt idx="170">
                  <c:v>529.18732982074459</c:v>
                </c:pt>
                <c:pt idx="171">
                  <c:v>529.31709906205379</c:v>
                </c:pt>
                <c:pt idx="172">
                  <c:v>529.44411070698516</c:v>
                </c:pt>
                <c:pt idx="173">
                  <c:v>529.56842335446174</c:v>
                </c:pt>
                <c:pt idx="174">
                  <c:v>529.69009435817941</c:v>
                </c:pt>
                <c:pt idx="175">
                  <c:v>529.80917985306814</c:v>
                </c:pt>
                <c:pt idx="176">
                  <c:v>529.9257347811905</c:v>
                </c:pt>
                <c:pt idx="177">
                  <c:v>530.03981291709022</c:v>
                </c:pt>
                <c:pt idx="178">
                  <c:v>530.151466892602</c:v>
                </c:pt>
                <c:pt idx="179">
                  <c:v>530.26074822113424</c:v>
                </c:pt>
                <c:pt idx="180">
                  <c:v>530.36770732143509</c:v>
                </c:pt>
                <c:pt idx="181">
                  <c:v>530.47239354085457</c:v>
                </c:pt>
                <c:pt idx="182">
                  <c:v>530.57485517811142</c:v>
                </c:pt>
                <c:pt idx="183">
                  <c:v>530.67513950557657</c:v>
                </c:pt>
                <c:pt idx="184">
                  <c:v>530.77329279108301</c:v>
                </c:pt>
                <c:pt idx="185">
                  <c:v>530.86936031927246</c:v>
                </c:pt>
                <c:pt idx="186">
                  <c:v>530.96338641248792</c:v>
                </c:pt>
                <c:pt idx="187">
                  <c:v>531.05541445122253</c:v>
                </c:pt>
                <c:pt idx="188">
                  <c:v>531.14548689413402</c:v>
                </c:pt>
                <c:pt idx="189">
                  <c:v>531.23364529763364</c:v>
                </c:pt>
                <c:pt idx="190">
                  <c:v>531.31993033505887</c:v>
                </c:pt>
                <c:pt idx="191">
                  <c:v>531.40438181543891</c:v>
                </c:pt>
                <c:pt idx="192">
                  <c:v>531.4870387018608</c:v>
                </c:pt>
                <c:pt idx="193">
                  <c:v>531.56793912944624</c:v>
                </c:pt>
                <c:pt idx="194">
                  <c:v>531.64712042294548</c:v>
                </c:pt>
                <c:pt idx="195">
                  <c:v>531.72461911395783</c:v>
                </c:pt>
                <c:pt idx="196">
                  <c:v>531.80047095778627</c:v>
                </c:pt>
                <c:pt idx="197">
                  <c:v>531.87471094993327</c:v>
                </c:pt>
                <c:pt idx="198">
                  <c:v>531.94737334224715</c:v>
                </c:pt>
                <c:pt idx="199">
                  <c:v>532.01849165872443</c:v>
                </c:pt>
                <c:pt idx="200">
                  <c:v>532.08809871097651</c:v>
                </c:pt>
                <c:pt idx="201">
                  <c:v>532.15622661336829</c:v>
                </c:pt>
                <c:pt idx="202">
                  <c:v>532.22290679783418</c:v>
                </c:pt>
                <c:pt idx="203">
                  <c:v>532.28817002838025</c:v>
                </c:pt>
                <c:pt idx="204">
                  <c:v>532.35204641527719</c:v>
                </c:pt>
                <c:pt idx="205">
                  <c:v>532.41456542895253</c:v>
                </c:pt>
                <c:pt idx="206">
                  <c:v>532.47575591358725</c:v>
                </c:pt>
                <c:pt idx="207">
                  <c:v>532.53564610042349</c:v>
                </c:pt>
                <c:pt idx="208">
                  <c:v>532.59426362078943</c:v>
                </c:pt>
                <c:pt idx="209">
                  <c:v>532.65163551884768</c:v>
                </c:pt>
                <c:pt idx="210">
                  <c:v>532.70778826407218</c:v>
                </c:pt>
                <c:pt idx="211">
                  <c:v>532.76274776346065</c:v>
                </c:pt>
                <c:pt idx="212">
                  <c:v>532.8165393734871</c:v>
                </c:pt>
                <c:pt idx="213">
                  <c:v>532.86918791180051</c:v>
                </c:pt>
                <c:pt idx="214">
                  <c:v>532.9207176686748</c:v>
                </c:pt>
                <c:pt idx="215">
                  <c:v>532.97115241821541</c:v>
                </c:pt>
                <c:pt idx="216">
                  <c:v>533.02051542932838</c:v>
                </c:pt>
                <c:pt idx="217">
                  <c:v>533.06882947645511</c:v>
                </c:pt>
                <c:pt idx="218">
                  <c:v>533.1161168500804</c:v>
                </c:pt>
                <c:pt idx="219">
                  <c:v>533.16239936701618</c:v>
                </c:pt>
                <c:pt idx="220">
                  <c:v>533.20769838046704</c:v>
                </c:pt>
                <c:pt idx="221">
                  <c:v>533.25203478988215</c:v>
                </c:pt>
                <c:pt idx="222">
                  <c:v>533.29542905059714</c:v>
                </c:pt>
                <c:pt idx="223">
                  <c:v>533.33790118327192</c:v>
                </c:pt>
                <c:pt idx="224">
                  <c:v>533.37947078312743</c:v>
                </c:pt>
                <c:pt idx="225">
                  <c:v>533.42015702898595</c:v>
                </c:pt>
                <c:pt idx="226">
                  <c:v>533.45997869211999</c:v>
                </c:pt>
                <c:pt idx="227">
                  <c:v>533.49895414491243</c:v>
                </c:pt>
                <c:pt idx="228">
                  <c:v>533.53710136933307</c:v>
                </c:pt>
                <c:pt idx="229">
                  <c:v>533.57443796523478</c:v>
                </c:pt>
                <c:pt idx="230">
                  <c:v>533.61098115847358</c:v>
                </c:pt>
                <c:pt idx="231">
                  <c:v>533.64674780885605</c:v>
                </c:pt>
                <c:pt idx="232">
                  <c:v>533.68175441791789</c:v>
                </c:pt>
                <c:pt idx="233">
                  <c:v>533.71601713653718</c:v>
                </c:pt>
                <c:pt idx="234">
                  <c:v>533.74955177238576</c:v>
                </c:pt>
                <c:pt idx="235">
                  <c:v>533.78237379722259</c:v>
                </c:pt>
                <c:pt idx="236">
                  <c:v>533.81449835403157</c:v>
                </c:pt>
                <c:pt idx="237">
                  <c:v>533.84594026400839</c:v>
                </c:pt>
                <c:pt idx="238">
                  <c:v>533.87671403339823</c:v>
                </c:pt>
                <c:pt idx="239">
                  <c:v>533.9068338601885</c:v>
                </c:pt>
                <c:pt idx="240">
                  <c:v>533.93631364065948</c:v>
                </c:pt>
                <c:pt idx="241">
                  <c:v>533.96516697579546</c:v>
                </c:pt>
                <c:pt idx="242">
                  <c:v>533.99340717755979</c:v>
                </c:pt>
                <c:pt idx="243">
                  <c:v>534.02104727503661</c:v>
                </c:pt>
                <c:pt idx="244">
                  <c:v>534.04810002044212</c:v>
                </c:pt>
                <c:pt idx="245">
                  <c:v>534.07457789500768</c:v>
                </c:pt>
                <c:pt idx="246">
                  <c:v>534.10049311473881</c:v>
                </c:pt>
                <c:pt idx="247">
                  <c:v>534.12585763605057</c:v>
                </c:pt>
                <c:pt idx="248">
                  <c:v>534.15068316128452</c:v>
                </c:pt>
                <c:pt idx="249">
                  <c:v>534.17498114410716</c:v>
                </c:pt>
                <c:pt idx="250">
                  <c:v>534.1987627947949</c:v>
                </c:pt>
                <c:pt idx="251">
                  <c:v>534.22203908540553</c:v>
                </c:pt>
                <c:pt idx="252">
                  <c:v>534.2448207548407</c:v>
                </c:pt>
                <c:pt idx="253">
                  <c:v>534.26711831380032</c:v>
                </c:pt>
                <c:pt idx="254">
                  <c:v>534.28894204963206</c:v>
                </c:pt>
                <c:pt idx="255">
                  <c:v>534.31030203107741</c:v>
                </c:pt>
                <c:pt idx="256">
                  <c:v>534.33120811291701</c:v>
                </c:pt>
                <c:pt idx="257">
                  <c:v>534.35166994051747</c:v>
                </c:pt>
                <c:pt idx="258">
                  <c:v>534.37169695428145</c:v>
                </c:pt>
                <c:pt idx="259">
                  <c:v>534.391298394003</c:v>
                </c:pt>
                <c:pt idx="260">
                  <c:v>534.41048330313038</c:v>
                </c:pt>
                <c:pt idx="261">
                  <c:v>534.42926053293888</c:v>
                </c:pt>
                <c:pt idx="262">
                  <c:v>534.44763874661396</c:v>
                </c:pt>
                <c:pt idx="263">
                  <c:v>534.46562642324841</c:v>
                </c:pt>
                <c:pt idx="264">
                  <c:v>534.48323186175435</c:v>
                </c:pt>
                <c:pt idx="265">
                  <c:v>534.50046318469208</c:v>
                </c:pt>
                <c:pt idx="266">
                  <c:v>534.51732834201732</c:v>
                </c:pt>
                <c:pt idx="267">
                  <c:v>534.53383511474942</c:v>
                </c:pt>
                <c:pt idx="268">
                  <c:v>534.54999111856102</c:v>
                </c:pt>
                <c:pt idx="269">
                  <c:v>534.56580380729156</c:v>
                </c:pt>
                <c:pt idx="270">
                  <c:v>534.58128047638661</c:v>
                </c:pt>
                <c:pt idx="271">
                  <c:v>534.59642826626339</c:v>
                </c:pt>
                <c:pt idx="272">
                  <c:v>534.61125416560526</c:v>
                </c:pt>
                <c:pt idx="273">
                  <c:v>534.62576501458614</c:v>
                </c:pt>
                <c:pt idx="274">
                  <c:v>534.63996750802619</c:v>
                </c:pt>
                <c:pt idx="275">
                  <c:v>534.65386819848061</c:v>
                </c:pt>
                <c:pt idx="276">
                  <c:v>534.66747349926288</c:v>
                </c:pt>
                <c:pt idx="277">
                  <c:v>534.68078968740349</c:v>
                </c:pt>
                <c:pt idx="278">
                  <c:v>534.69382290654619</c:v>
                </c:pt>
                <c:pt idx="279">
                  <c:v>534.70657916978212</c:v>
                </c:pt>
                <c:pt idx="280">
                  <c:v>534.71906436242421</c:v>
                </c:pt>
                <c:pt idx="281">
                  <c:v>534.7312842447227</c:v>
                </c:pt>
                <c:pt idx="282">
                  <c:v>534.74324445452237</c:v>
                </c:pt>
                <c:pt idx="283">
                  <c:v>534.75495050986376</c:v>
                </c:pt>
                <c:pt idx="284">
                  <c:v>534.76640781152912</c:v>
                </c:pt>
                <c:pt idx="285">
                  <c:v>534.77762164553417</c:v>
                </c:pt>
                <c:pt idx="286">
                  <c:v>534.78859718556657</c:v>
                </c:pt>
                <c:pt idx="287">
                  <c:v>534.79933949537326</c:v>
                </c:pt>
                <c:pt idx="288">
                  <c:v>534.80985353109656</c:v>
                </c:pt>
                <c:pt idx="289">
                  <c:v>534.82014414356081</c:v>
                </c:pt>
                <c:pt idx="290">
                  <c:v>534.83021608051013</c:v>
                </c:pt>
                <c:pt idx="291">
                  <c:v>534.8400739887993</c:v>
                </c:pt>
                <c:pt idx="292">
                  <c:v>534.84972241653736</c:v>
                </c:pt>
                <c:pt idx="293">
                  <c:v>534.85916581518597</c:v>
                </c:pt>
                <c:pt idx="294">
                  <c:v>534.86840854161323</c:v>
                </c:pt>
                <c:pt idx="295">
                  <c:v>534.87745486010397</c:v>
                </c:pt>
                <c:pt idx="296">
                  <c:v>534.88630894432674</c:v>
                </c:pt>
                <c:pt idx="297">
                  <c:v>534.89497487925985</c:v>
                </c:pt>
                <c:pt idx="298">
                  <c:v>534.90345666307553</c:v>
                </c:pt>
                <c:pt idx="299">
                  <c:v>534.91175820898513</c:v>
                </c:pt>
                <c:pt idx="300">
                  <c:v>534.91988334704422</c:v>
                </c:pt>
                <c:pt idx="301">
                  <c:v>534.92783582591949</c:v>
                </c:pt>
                <c:pt idx="302">
                  <c:v>534.93561931461875</c:v>
                </c:pt>
                <c:pt idx="303">
                  <c:v>534.94323740418315</c:v>
                </c:pt>
                <c:pt idx="304">
                  <c:v>534.95069360934428</c:v>
                </c:pt>
                <c:pt idx="305">
                  <c:v>534.95799137014569</c:v>
                </c:pt>
                <c:pt idx="306">
                  <c:v>534.96513405353005</c:v>
                </c:pt>
                <c:pt idx="307">
                  <c:v>534.97212495489248</c:v>
                </c:pt>
                <c:pt idx="308">
                  <c:v>534.97896729960098</c:v>
                </c:pt>
                <c:pt idx="309">
                  <c:v>534.9856642444845</c:v>
                </c:pt>
                <c:pt idx="310">
                  <c:v>534.99221887928923</c:v>
                </c:pt>
                <c:pt idx="311">
                  <c:v>534.99863422810438</c:v>
                </c:pt>
                <c:pt idx="312">
                  <c:v>535.00491325075711</c:v>
                </c:pt>
                <c:pt idx="313">
                  <c:v>535.01105884417848</c:v>
                </c:pt>
                <c:pt idx="314">
                  <c:v>535.01707384373969</c:v>
                </c:pt>
                <c:pt idx="315">
                  <c:v>535.02296102456023</c:v>
                </c:pt>
                <c:pt idx="316">
                  <c:v>535.02872310278838</c:v>
                </c:pt>
                <c:pt idx="317">
                  <c:v>535.03436273685406</c:v>
                </c:pt>
                <c:pt idx="318">
                  <c:v>535.0398825286959</c:v>
                </c:pt>
                <c:pt idx="319">
                  <c:v>535.04528502496112</c:v>
                </c:pt>
                <c:pt idx="320">
                  <c:v>535.05057271818066</c:v>
                </c:pt>
                <c:pt idx="321">
                  <c:v>535.05574804791934</c:v>
                </c:pt>
                <c:pt idx="322">
                  <c:v>535.0608134019011</c:v>
                </c:pt>
                <c:pt idx="323">
                  <c:v>535.06577111711067</c:v>
                </c:pt>
                <c:pt idx="324">
                  <c:v>535.07062348087209</c:v>
                </c:pt>
                <c:pt idx="325">
                  <c:v>535.0753727319036</c:v>
                </c:pt>
                <c:pt idx="326">
                  <c:v>535.08002106135064</c:v>
                </c:pt>
                <c:pt idx="327">
                  <c:v>535.08457061379693</c:v>
                </c:pt>
                <c:pt idx="328">
                  <c:v>535.0890234882537</c:v>
                </c:pt>
                <c:pt idx="329">
                  <c:v>535.09338173912829</c:v>
                </c:pt>
                <c:pt idx="330">
                  <c:v>535.09764737717182</c:v>
                </c:pt>
                <c:pt idx="331">
                  <c:v>535.10182237040692</c:v>
                </c:pt>
                <c:pt idx="332">
                  <c:v>535.10590864503581</c:v>
                </c:pt>
                <c:pt idx="333">
                  <c:v>535.1099080863288</c:v>
                </c:pt>
                <c:pt idx="334">
                  <c:v>535.11382253949432</c:v>
                </c:pt>
                <c:pt idx="335">
                  <c:v>535.1176538105301</c:v>
                </c:pt>
                <c:pt idx="336">
                  <c:v>535.12140366705637</c:v>
                </c:pt>
                <c:pt idx="337">
                  <c:v>535.12507383913146</c:v>
                </c:pt>
                <c:pt idx="338">
                  <c:v>535.12866602004988</c:v>
                </c:pt>
                <c:pt idx="339">
                  <c:v>535.13218186712379</c:v>
                </c:pt>
                <c:pt idx="340">
                  <c:v>535.13562300244746</c:v>
                </c:pt>
                <c:pt idx="341">
                  <c:v>535.13899101364541</c:v>
                </c:pt>
                <c:pt idx="342">
                  <c:v>535.14228745460548</c:v>
                </c:pt>
                <c:pt idx="343">
                  <c:v>535.14551384619506</c:v>
                </c:pt>
                <c:pt idx="344">
                  <c:v>535.14867167696343</c:v>
                </c:pt>
                <c:pt idx="345">
                  <c:v>535.151762403828</c:v>
                </c:pt>
                <c:pt idx="346">
                  <c:v>535.15478745274663</c:v>
                </c:pt>
                <c:pt idx="347">
                  <c:v>535.15774821937578</c:v>
                </c:pt>
                <c:pt idx="348">
                  <c:v>535.16064606971406</c:v>
                </c:pt>
                <c:pt idx="349">
                  <c:v>535.16348234073268</c:v>
                </c:pt>
                <c:pt idx="350">
                  <c:v>535.16625834099216</c:v>
                </c:pt>
                <c:pt idx="351">
                  <c:v>535.1689753512461</c:v>
                </c:pt>
                <c:pt idx="352">
                  <c:v>535.17163462503208</c:v>
                </c:pt>
                <c:pt idx="353">
                  <c:v>535.17423738925015</c:v>
                </c:pt>
                <c:pt idx="354">
                  <c:v>535.17678484472856</c:v>
                </c:pt>
                <c:pt idx="355">
                  <c:v>535.17927816677809</c:v>
                </c:pt>
                <c:pt idx="356">
                  <c:v>535.18171850573401</c:v>
                </c:pt>
                <c:pt idx="357">
                  <c:v>535.18410698748721</c:v>
                </c:pt>
                <c:pt idx="358">
                  <c:v>535.18644471400307</c:v>
                </c:pt>
                <c:pt idx="359">
                  <c:v>535.18873276383056</c:v>
                </c:pt>
                <c:pt idx="360">
                  <c:v>535.19097219259913</c:v>
                </c:pt>
                <c:pt idx="361">
                  <c:v>535.19316403350638</c:v>
                </c:pt>
                <c:pt idx="362">
                  <c:v>535.19530929779432</c:v>
                </c:pt>
                <c:pt idx="363">
                  <c:v>535.19740897521615</c:v>
                </c:pt>
                <c:pt idx="364">
                  <c:v>535.19946403449285</c:v>
                </c:pt>
                <c:pt idx="365">
                  <c:v>535.20147542375992</c:v>
                </c:pt>
                <c:pt idx="366">
                  <c:v>535.20344407100504</c:v>
                </c:pt>
                <c:pt idx="367">
                  <c:v>535.20537088449623</c:v>
                </c:pt>
                <c:pt idx="368">
                  <c:v>535.20725675320068</c:v>
                </c:pt>
                <c:pt idx="369">
                  <c:v>535.20910254719513</c:v>
                </c:pt>
                <c:pt idx="370">
                  <c:v>535.21090911806721</c:v>
                </c:pt>
                <c:pt idx="371">
                  <c:v>535.21267729930833</c:v>
                </c:pt>
                <c:pt idx="372">
                  <c:v>535.21440790669806</c:v>
                </c:pt>
                <c:pt idx="373">
                  <c:v>535.21610173868078</c:v>
                </c:pt>
                <c:pt idx="374">
                  <c:v>535.21775957673378</c:v>
                </c:pt>
                <c:pt idx="375">
                  <c:v>535.21938218572814</c:v>
                </c:pt>
                <c:pt idx="376">
                  <c:v>535.22097031428143</c:v>
                </c:pt>
                <c:pt idx="377">
                  <c:v>535.22252469510295</c:v>
                </c:pt>
                <c:pt idx="378">
                  <c:v>535.22404604533199</c:v>
                </c:pt>
                <c:pt idx="379">
                  <c:v>535.2255350668687</c:v>
                </c:pt>
                <c:pt idx="380">
                  <c:v>535.22699244669775</c:v>
                </c:pt>
                <c:pt idx="381">
                  <c:v>535.22841885720538</c:v>
                </c:pt>
                <c:pt idx="382">
                  <c:v>535.2298149564898</c:v>
                </c:pt>
                <c:pt idx="383">
                  <c:v>535.23118138866437</c:v>
                </c:pt>
                <c:pt idx="384">
                  <c:v>535.23251878415522</c:v>
                </c:pt>
                <c:pt idx="385">
                  <c:v>535.23382775999187</c:v>
                </c:pt>
                <c:pt idx="386">
                  <c:v>535.23510892009199</c:v>
                </c:pt>
                <c:pt idx="387">
                  <c:v>535.23636285554005</c:v>
                </c:pt>
                <c:pt idx="388">
                  <c:v>535.23759014485984</c:v>
                </c:pt>
                <c:pt idx="389">
                  <c:v>535.2387913542816</c:v>
                </c:pt>
                <c:pt idx="390">
                  <c:v>535.2399670380031</c:v>
                </c:pt>
                <c:pt idx="391">
                  <c:v>535.2411177384455</c:v>
                </c:pt>
                <c:pt idx="392">
                  <c:v>535.24224398650358</c:v>
                </c:pt>
                <c:pt idx="393">
                  <c:v>535.24334630179033</c:v>
                </c:pt>
                <c:pt idx="394">
                  <c:v>535.24442519287732</c:v>
                </c:pt>
                <c:pt idx="395">
                  <c:v>535.24548115752862</c:v>
                </c:pt>
                <c:pt idx="396">
                  <c:v>535.24651468293109</c:v>
                </c:pt>
                <c:pt idx="397">
                  <c:v>535.24752624591883</c:v>
                </c:pt>
                <c:pt idx="398">
                  <c:v>535.24851631319302</c:v>
                </c:pt>
                <c:pt idx="399">
                  <c:v>535.24948534153771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DSM!$J$1</c:f>
              <c:strCache>
                <c:ptCount val="1"/>
                <c:pt idx="0">
                  <c:v>Adult, people</c:v>
                </c:pt>
              </c:strCache>
            </c:strRef>
          </c:tx>
          <c:marker>
            <c:symbol val="none"/>
          </c:marker>
          <c:cat>
            <c:numRef>
              <c:f>DSM!$F$2:$F$402</c:f>
              <c:numCache>
                <c:formatCode>0.00</c:formatCode>
                <c:ptCount val="4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</c:numCache>
            </c:numRef>
          </c:cat>
          <c:val>
            <c:numRef>
              <c:f>DSM!$J$2:$J$401</c:f>
              <c:numCache>
                <c:formatCode>0.00</c:formatCode>
                <c:ptCount val="400"/>
                <c:pt idx="0" formatCode="#,##0.00">
                  <c:v>1000</c:v>
                </c:pt>
                <c:pt idx="1">
                  <c:v>995</c:v>
                </c:pt>
                <c:pt idx="2">
                  <c:v>990.10625000000005</c:v>
                </c:pt>
                <c:pt idx="3">
                  <c:v>985.31649218749999</c:v>
                </c:pt>
                <c:pt idx="4">
                  <c:v>980.62851672851559</c:v>
                </c:pt>
                <c:pt idx="5">
                  <c:v>976.04016074803462</c:v>
                </c:pt>
                <c:pt idx="6">
                  <c:v>971.54930733213894</c:v>
                </c:pt>
                <c:pt idx="7">
                  <c:v>967.15388455133098</c:v>
                </c:pt>
                <c:pt idx="8">
                  <c:v>962.85186450461515</c:v>
                </c:pt>
                <c:pt idx="9">
                  <c:v>958.64126238389201</c:v>
                </c:pt>
                <c:pt idx="10">
                  <c:v>954.5201355582343</c:v>
                </c:pt>
                <c:pt idx="11">
                  <c:v>950.48658267762187</c:v>
                </c:pt>
                <c:pt idx="12">
                  <c:v>946.53874279572244</c:v>
                </c:pt>
                <c:pt idx="13">
                  <c:v>942.67479451131339</c:v>
                </c:pt>
                <c:pt idx="14">
                  <c:v>938.89295512794797</c:v>
                </c:pt>
                <c:pt idx="15">
                  <c:v>935.19147983147911</c:v>
                </c:pt>
                <c:pt idx="16">
                  <c:v>931.56866088506013</c:v>
                </c:pt>
                <c:pt idx="17">
                  <c:v>928.02282684125259</c:v>
                </c:pt>
                <c:pt idx="18">
                  <c:v>924.55234177087596</c:v>
                </c:pt>
                <c:pt idx="19">
                  <c:v>921.15560450824489</c:v>
                </c:pt>
                <c:pt idx="20">
                  <c:v>917.83104791244466</c:v>
                </c:pt>
                <c:pt idx="21">
                  <c:v>914.57713814430531</c:v>
                </c:pt>
                <c:pt idx="22">
                  <c:v>911.39237395873886</c:v>
                </c:pt>
                <c:pt idx="23">
                  <c:v>908.27528601211566</c:v>
                </c:pt>
                <c:pt idx="24">
                  <c:v>905.22443618435818</c:v>
                </c:pt>
                <c:pt idx="25">
                  <c:v>902.23841691544044</c:v>
                </c:pt>
                <c:pt idx="26">
                  <c:v>899.31585055598725</c:v>
                </c:pt>
                <c:pt idx="27">
                  <c:v>896.45538873167254</c:v>
                </c:pt>
                <c:pt idx="28">
                  <c:v>893.65571172112448</c:v>
                </c:pt>
                <c:pt idx="29">
                  <c:v>890.91552784705061</c:v>
                </c:pt>
                <c:pt idx="30">
                  <c:v>888.23357288030093</c:v>
                </c:pt>
                <c:pt idx="31">
                  <c:v>885.60860945659454</c:v>
                </c:pt>
                <c:pt idx="32">
                  <c:v>883.03942650564193</c:v>
                </c:pt>
                <c:pt idx="33">
                  <c:v>880.52483869239711</c:v>
                </c:pt>
                <c:pt idx="34">
                  <c:v>878.06368587018358</c:v>
                </c:pt>
                <c:pt idx="35">
                  <c:v>875.65483254544222</c:v>
                </c:pt>
                <c:pt idx="36">
                  <c:v>873.29716735385159</c:v>
                </c:pt>
                <c:pt idx="37">
                  <c:v>870.98960254758231</c:v>
                </c:pt>
                <c:pt idx="38">
                  <c:v>868.73107349344627</c:v>
                </c:pt>
                <c:pt idx="39">
                  <c:v>866.52053818171055</c:v>
                </c:pt>
                <c:pt idx="40">
                  <c:v>864.35697674534924</c:v>
                </c:pt>
                <c:pt idx="41">
                  <c:v>862.23939098951064</c:v>
                </c:pt>
                <c:pt idx="42">
                  <c:v>860.16680393098363</c:v>
                </c:pt>
                <c:pt idx="43">
                  <c:v>858.13825934745023</c:v>
                </c:pt>
                <c:pt idx="44">
                  <c:v>856.15282133631683</c:v>
                </c:pt>
                <c:pt idx="45">
                  <c:v>854.20957388292015</c:v>
                </c:pt>
                <c:pt idx="46">
                  <c:v>852.3076204379081</c:v>
                </c:pt>
                <c:pt idx="47">
                  <c:v>850.44608350360261</c:v>
                </c:pt>
                <c:pt idx="48">
                  <c:v>848.62410422915104</c:v>
                </c:pt>
                <c:pt idx="49">
                  <c:v>846.84084201428163</c:v>
                </c:pt>
                <c:pt idx="50">
                  <c:v>845.09547412147822</c:v>
                </c:pt>
                <c:pt idx="51">
                  <c:v>843.38719529639673</c:v>
                </c:pt>
                <c:pt idx="52">
                  <c:v>841.71521739634818</c:v>
                </c:pt>
                <c:pt idx="53">
                  <c:v>840.07876902667579</c:v>
                </c:pt>
                <c:pt idx="54">
                  <c:v>838.47709518485885</c:v>
                </c:pt>
                <c:pt idx="55">
                  <c:v>836.90945691218053</c:v>
                </c:pt>
                <c:pt idx="56">
                  <c:v>835.37513095279667</c:v>
                </c:pt>
                <c:pt idx="57">
                  <c:v>833.87340942004971</c:v>
                </c:pt>
                <c:pt idx="58">
                  <c:v>832.40359946987371</c:v>
                </c:pt>
                <c:pt idx="59">
                  <c:v>830.96502298113899</c:v>
                </c:pt>
                <c:pt idx="60">
                  <c:v>829.55701624278981</c:v>
                </c:pt>
                <c:pt idx="61">
                  <c:v>828.17892964763053</c:v>
                </c:pt>
                <c:pt idx="62">
                  <c:v>826.83012739261835</c:v>
                </c:pt>
                <c:pt idx="63">
                  <c:v>825.50998718552523</c:v>
                </c:pt>
                <c:pt idx="64">
                  <c:v>824.21789995783286</c:v>
                </c:pt>
                <c:pt idx="65">
                  <c:v>822.95326958372891</c:v>
                </c:pt>
                <c:pt idx="66">
                  <c:v>821.71551260507465</c:v>
                </c:pt>
                <c:pt idx="67">
                  <c:v>820.50405796221673</c:v>
                </c:pt>
                <c:pt idx="68">
                  <c:v>819.31834673051958</c:v>
                </c:pt>
                <c:pt idx="69">
                  <c:v>818.1578318624961</c:v>
                </c:pt>
                <c:pt idx="70">
                  <c:v>817.02197793541802</c:v>
                </c:pt>
                <c:pt idx="71">
                  <c:v>815.91026090429034</c:v>
                </c:pt>
                <c:pt idx="72">
                  <c:v>814.82216786007416</c:v>
                </c:pt>
                <c:pt idx="73">
                  <c:v>813.75719679304757</c:v>
                </c:pt>
                <c:pt idx="74">
                  <c:v>812.7148563611953</c:v>
                </c:pt>
                <c:pt idx="75">
                  <c:v>811.6946656635198</c:v>
                </c:pt>
                <c:pt idx="76">
                  <c:v>810.69615401816998</c:v>
                </c:pt>
                <c:pt idx="77">
                  <c:v>809.71886074528391</c:v>
                </c:pt>
                <c:pt idx="78">
                  <c:v>808.76233495444649</c:v>
                </c:pt>
                <c:pt idx="79">
                  <c:v>807.82613533666449</c:v>
                </c:pt>
                <c:pt idx="80">
                  <c:v>806.90982996076036</c:v>
                </c:pt>
                <c:pt idx="81">
                  <c:v>806.01299607409419</c:v>
                </c:pt>
                <c:pt idx="82">
                  <c:v>805.13521990751963</c:v>
                </c:pt>
                <c:pt idx="83">
                  <c:v>804.27609648448492</c:v>
                </c:pt>
                <c:pt idx="84">
                  <c:v>803.43522943418964</c:v>
                </c:pt>
                <c:pt idx="85">
                  <c:v>802.61223080871321</c:v>
                </c:pt>
                <c:pt idx="86">
                  <c:v>801.80672090402811</c:v>
                </c:pt>
                <c:pt idx="87">
                  <c:v>801.01832808481765</c:v>
                </c:pt>
                <c:pt idx="88">
                  <c:v>800.24668861301529</c:v>
                </c:pt>
                <c:pt idx="89">
                  <c:v>799.49144647998867</c:v>
                </c:pt>
                <c:pt idx="90">
                  <c:v>798.75225324228893</c:v>
                </c:pt>
                <c:pt idx="91">
                  <c:v>798.02876786089018</c:v>
                </c:pt>
                <c:pt idx="92">
                  <c:v>797.32065654384633</c:v>
                </c:pt>
                <c:pt idx="93">
                  <c:v>796.6275925922896</c:v>
                </c:pt>
                <c:pt idx="94">
                  <c:v>795.94925624970358</c:v>
                </c:pt>
                <c:pt idx="95">
                  <c:v>795.28533455439742</c:v>
                </c:pt>
                <c:pt idx="96">
                  <c:v>794.63552119511644</c:v>
                </c:pt>
                <c:pt idx="97">
                  <c:v>793.99951636972025</c:v>
                </c:pt>
                <c:pt idx="98">
                  <c:v>793.37702664686367</c:v>
                </c:pt>
                <c:pt idx="99">
                  <c:v>792.76776483061769</c:v>
                </c:pt>
                <c:pt idx="100">
                  <c:v>792.17144982796708</c:v>
                </c:pt>
                <c:pt idx="101">
                  <c:v>791.58780651912286</c:v>
                </c:pt>
                <c:pt idx="102">
                  <c:v>791.01656563059157</c:v>
                </c:pt>
                <c:pt idx="103">
                  <c:v>790.45746361094155</c:v>
                </c:pt>
                <c:pt idx="104">
                  <c:v>789.91024250920907</c:v>
                </c:pt>
                <c:pt idx="105">
                  <c:v>789.37464985588838</c:v>
                </c:pt>
                <c:pt idx="106">
                  <c:v>788.85043854645073</c:v>
                </c:pt>
                <c:pt idx="107">
                  <c:v>788.33736672733869</c:v>
                </c:pt>
                <c:pt idx="108">
                  <c:v>787.83519768438282</c:v>
                </c:pt>
                <c:pt idx="109">
                  <c:v>787.34369973358969</c:v>
                </c:pt>
                <c:pt idx="110">
                  <c:v>786.86264611425088</c:v>
                </c:pt>
                <c:pt idx="111">
                  <c:v>786.39181488432303</c:v>
                </c:pt>
                <c:pt idx="112">
                  <c:v>785.93098881803121</c:v>
                </c:pt>
                <c:pt idx="113">
                  <c:v>785.4799553056481</c:v>
                </c:pt>
                <c:pt idx="114">
                  <c:v>785.03850625540304</c:v>
                </c:pt>
                <c:pt idx="115">
                  <c:v>784.60643799747572</c:v>
                </c:pt>
                <c:pt idx="116">
                  <c:v>784.18355119002933</c:v>
                </c:pt>
                <c:pt idx="117">
                  <c:v>783.76965072724124</c:v>
                </c:pt>
                <c:pt idx="118">
                  <c:v>783.36454564928727</c:v>
                </c:pt>
                <c:pt idx="119">
                  <c:v>782.96804905423994</c:v>
                </c:pt>
                <c:pt idx="120">
                  <c:v>782.57997801183728</c:v>
                </c:pt>
                <c:pt idx="121">
                  <c:v>782.20015347908577</c:v>
                </c:pt>
                <c:pt idx="122">
                  <c:v>781.82840021765514</c:v>
                </c:pt>
                <c:pt idx="123">
                  <c:v>781.46454671303002</c:v>
                </c:pt>
                <c:pt idx="124">
                  <c:v>781.10842509537804</c:v>
                </c:pt>
                <c:pt idx="125">
                  <c:v>780.7598710621013</c:v>
                </c:pt>
                <c:pt idx="126">
                  <c:v>780.41872380203165</c:v>
                </c:pt>
                <c:pt idx="127">
                  <c:v>780.08482592123846</c:v>
                </c:pt>
                <c:pt idx="128">
                  <c:v>779.75802337041216</c:v>
                </c:pt>
                <c:pt idx="129">
                  <c:v>779.43816537379087</c:v>
                </c:pt>
                <c:pt idx="130">
                  <c:v>779.12510435959769</c:v>
                </c:pt>
                <c:pt idx="131">
                  <c:v>778.81869589195628</c:v>
                </c:pt>
                <c:pt idx="132">
                  <c:v>778.5187986042522</c:v>
                </c:pt>
                <c:pt idx="133">
                  <c:v>778.22527413391174</c:v>
                </c:pt>
                <c:pt idx="134">
                  <c:v>777.93798705856614</c:v>
                </c:pt>
                <c:pt idx="135">
                  <c:v>777.65680483357164</c:v>
                </c:pt>
                <c:pt idx="136">
                  <c:v>777.38159773085829</c:v>
                </c:pt>
                <c:pt idx="137">
                  <c:v>777.11223877907764</c:v>
                </c:pt>
                <c:pt idx="138">
                  <c:v>776.84860370502213</c:v>
                </c:pt>
                <c:pt idx="139">
                  <c:v>776.59057087629049</c:v>
                </c:pt>
                <c:pt idx="140">
                  <c:v>776.33802124516933</c:v>
                </c:pt>
                <c:pt idx="141">
                  <c:v>776.09083829370957</c:v>
                </c:pt>
                <c:pt idx="142">
                  <c:v>775.8489079799682</c:v>
                </c:pt>
                <c:pt idx="143">
                  <c:v>775.61211868539385</c:v>
                </c:pt>
                <c:pt idx="144">
                  <c:v>775.38036116332933</c:v>
                </c:pt>
                <c:pt idx="145">
                  <c:v>775.15352848860857</c:v>
                </c:pt>
                <c:pt idx="146">
                  <c:v>774.93151600822569</c:v>
                </c:pt>
                <c:pt idx="147">
                  <c:v>774.71422129305085</c:v>
                </c:pt>
                <c:pt idx="148">
                  <c:v>774.50154409057347</c:v>
                </c:pt>
                <c:pt idx="149">
                  <c:v>774.29338627864877</c:v>
                </c:pt>
                <c:pt idx="150">
                  <c:v>774.08965182022746</c:v>
                </c:pt>
                <c:pt idx="151">
                  <c:v>773.8902467190477</c:v>
                </c:pt>
                <c:pt idx="152">
                  <c:v>773.69507897626784</c:v>
                </c:pt>
                <c:pt idx="153">
                  <c:v>773.50405854802204</c:v>
                </c:pt>
                <c:pt idx="154">
                  <c:v>773.31709730387649</c:v>
                </c:pt>
                <c:pt idx="155">
                  <c:v>773.13410898616905</c:v>
                </c:pt>
                <c:pt idx="156">
                  <c:v>772.95500917021286</c:v>
                </c:pt>
                <c:pt idx="157">
                  <c:v>772.77971522534585</c:v>
                </c:pt>
                <c:pt idx="158">
                  <c:v>772.60814627680725</c:v>
                </c:pt>
                <c:pt idx="159">
                  <c:v>772.44022316842506</c:v>
                </c:pt>
                <c:pt idx="160">
                  <c:v>772.27586842609605</c:v>
                </c:pt>
                <c:pt idx="161">
                  <c:v>772.11500622204153</c:v>
                </c:pt>
                <c:pt idx="162">
                  <c:v>771.9575623398232</c:v>
                </c:pt>
                <c:pt idx="163">
                  <c:v>771.80346414010194</c:v>
                </c:pt>
                <c:pt idx="164">
                  <c:v>771.65264052712473</c:v>
                </c:pt>
                <c:pt idx="165">
                  <c:v>771.50502191592329</c:v>
                </c:pt>
                <c:pt idx="166">
                  <c:v>771.36054020020981</c:v>
                </c:pt>
                <c:pt idx="167">
                  <c:v>771.21912872095538</c:v>
                </c:pt>
                <c:pt idx="168">
                  <c:v>771.08072223563511</c:v>
                </c:pt>
                <c:pt idx="169">
                  <c:v>770.9452568881278</c:v>
                </c:pt>
                <c:pt idx="170">
                  <c:v>770.81267017925506</c:v>
                </c:pt>
                <c:pt idx="171">
                  <c:v>770.68290093794587</c:v>
                </c:pt>
                <c:pt idx="172">
                  <c:v>770.5558892930145</c:v>
                </c:pt>
                <c:pt idx="173">
                  <c:v>770.43157664553792</c:v>
                </c:pt>
                <c:pt idx="174">
                  <c:v>770.30990564182025</c:v>
                </c:pt>
                <c:pt idx="175">
                  <c:v>770.19082014693151</c:v>
                </c:pt>
                <c:pt idx="176">
                  <c:v>770.07426521880916</c:v>
                </c:pt>
                <c:pt idx="177">
                  <c:v>769.96018708290944</c:v>
                </c:pt>
                <c:pt idx="178">
                  <c:v>769.84853310739766</c:v>
                </c:pt>
                <c:pt idx="179">
                  <c:v>769.73925177886542</c:v>
                </c:pt>
                <c:pt idx="180">
                  <c:v>769.63229267856457</c:v>
                </c:pt>
                <c:pt idx="181">
                  <c:v>769.52760645914509</c:v>
                </c:pt>
                <c:pt idx="182">
                  <c:v>769.42514482188835</c:v>
                </c:pt>
                <c:pt idx="183">
                  <c:v>769.32486049442321</c:v>
                </c:pt>
                <c:pt idx="184">
                  <c:v>769.22670720891676</c:v>
                </c:pt>
                <c:pt idx="185">
                  <c:v>769.13063968072731</c:v>
                </c:pt>
                <c:pt idx="186">
                  <c:v>769.03661358751185</c:v>
                </c:pt>
                <c:pt idx="187">
                  <c:v>768.94458554877724</c:v>
                </c:pt>
                <c:pt idx="188">
                  <c:v>768.85451310586564</c:v>
                </c:pt>
                <c:pt idx="189">
                  <c:v>768.76635470236602</c:v>
                </c:pt>
                <c:pt idx="190">
                  <c:v>768.68006966494079</c:v>
                </c:pt>
                <c:pt idx="191">
                  <c:v>768.59561818456086</c:v>
                </c:pt>
                <c:pt idx="192">
                  <c:v>768.51296129813898</c:v>
                </c:pt>
                <c:pt idx="193">
                  <c:v>768.43206087055353</c:v>
                </c:pt>
                <c:pt idx="194">
                  <c:v>768.3528795770543</c:v>
                </c:pt>
                <c:pt idx="195">
                  <c:v>768.27538088604194</c:v>
                </c:pt>
                <c:pt idx="196">
                  <c:v>768.1995290422135</c:v>
                </c:pt>
                <c:pt idx="197">
                  <c:v>768.1252890500665</c:v>
                </c:pt>
                <c:pt idx="198">
                  <c:v>768.05262665775263</c:v>
                </c:pt>
                <c:pt idx="199">
                  <c:v>767.98150834127534</c:v>
                </c:pt>
                <c:pt idx="200">
                  <c:v>767.91190128902326</c:v>
                </c:pt>
                <c:pt idx="201">
                  <c:v>767.84377338663148</c:v>
                </c:pt>
                <c:pt idx="202">
                  <c:v>767.77709320216559</c:v>
                </c:pt>
                <c:pt idx="203">
                  <c:v>767.71182997161952</c:v>
                </c:pt>
                <c:pt idx="204">
                  <c:v>767.64795358472259</c:v>
                </c:pt>
                <c:pt idx="205">
                  <c:v>767.58543457104724</c:v>
                </c:pt>
                <c:pt idx="206">
                  <c:v>767.52424408641252</c:v>
                </c:pt>
                <c:pt idx="207">
                  <c:v>767.46435389957617</c:v>
                </c:pt>
                <c:pt idx="208">
                  <c:v>767.40573637921011</c:v>
                </c:pt>
                <c:pt idx="209">
                  <c:v>767.34836448115186</c:v>
                </c:pt>
                <c:pt idx="210">
                  <c:v>767.29221173592748</c:v>
                </c:pt>
                <c:pt idx="211">
                  <c:v>767.23725223653901</c:v>
                </c:pt>
                <c:pt idx="212">
                  <c:v>767.18346062651256</c:v>
                </c:pt>
                <c:pt idx="213">
                  <c:v>767.13081208819915</c:v>
                </c:pt>
                <c:pt idx="214">
                  <c:v>767.07928233132498</c:v>
                </c:pt>
                <c:pt idx="215">
                  <c:v>767.02884758178436</c:v>
                </c:pt>
                <c:pt idx="216">
                  <c:v>766.97948457067139</c:v>
                </c:pt>
                <c:pt idx="217">
                  <c:v>766.93117052354455</c:v>
                </c:pt>
                <c:pt idx="218">
                  <c:v>766.88388314991914</c:v>
                </c:pt>
                <c:pt idx="219">
                  <c:v>766.83760063298337</c:v>
                </c:pt>
                <c:pt idx="220">
                  <c:v>766.79230161953251</c:v>
                </c:pt>
                <c:pt idx="221">
                  <c:v>766.7479652101174</c:v>
                </c:pt>
                <c:pt idx="222">
                  <c:v>766.70457094940241</c:v>
                </c:pt>
                <c:pt idx="223">
                  <c:v>766.66209881672751</c:v>
                </c:pt>
                <c:pt idx="224">
                  <c:v>766.620529216872</c:v>
                </c:pt>
                <c:pt idx="225">
                  <c:v>766.57984297101348</c:v>
                </c:pt>
                <c:pt idx="226">
                  <c:v>766.54002130787944</c:v>
                </c:pt>
                <c:pt idx="227">
                  <c:v>766.50104585508689</c:v>
                </c:pt>
                <c:pt idx="228">
                  <c:v>766.46289863066625</c:v>
                </c:pt>
                <c:pt idx="229">
                  <c:v>766.42556203476454</c:v>
                </c:pt>
                <c:pt idx="230">
                  <c:v>766.38901884152574</c:v>
                </c:pt>
                <c:pt idx="231">
                  <c:v>766.35325219114327</c:v>
                </c:pt>
                <c:pt idx="232">
                  <c:v>766.31824558208143</c:v>
                </c:pt>
                <c:pt idx="233">
                  <c:v>766.28398286346226</c:v>
                </c:pt>
                <c:pt idx="234">
                  <c:v>766.25044822761367</c:v>
                </c:pt>
                <c:pt idx="235">
                  <c:v>766.21762620277684</c:v>
                </c:pt>
                <c:pt idx="236">
                  <c:v>766.18550164596775</c:v>
                </c:pt>
                <c:pt idx="237">
                  <c:v>766.15405973599093</c:v>
                </c:pt>
                <c:pt idx="238">
                  <c:v>766.12328596660109</c:v>
                </c:pt>
                <c:pt idx="239">
                  <c:v>766.09316613981071</c:v>
                </c:pt>
                <c:pt idx="240">
                  <c:v>766.06368635933973</c:v>
                </c:pt>
                <c:pt idx="241">
                  <c:v>766.03483302420375</c:v>
                </c:pt>
                <c:pt idx="242">
                  <c:v>766.00659282243942</c:v>
                </c:pt>
                <c:pt idx="243">
                  <c:v>765.9789527249626</c:v>
                </c:pt>
                <c:pt idx="244">
                  <c:v>765.95189997955708</c:v>
                </c:pt>
                <c:pt idx="245">
                  <c:v>765.92542210499153</c:v>
                </c:pt>
                <c:pt idx="246">
                  <c:v>765.89950688526039</c:v>
                </c:pt>
                <c:pt idx="247">
                  <c:v>765.87414236394864</c:v>
                </c:pt>
                <c:pt idx="248">
                  <c:v>765.84931683871469</c:v>
                </c:pt>
                <c:pt idx="249">
                  <c:v>765.82501885589204</c:v>
                </c:pt>
                <c:pt idx="250">
                  <c:v>765.8012372052043</c:v>
                </c:pt>
                <c:pt idx="251">
                  <c:v>765.77796091459379</c:v>
                </c:pt>
                <c:pt idx="252">
                  <c:v>765.75517924515862</c:v>
                </c:pt>
                <c:pt idx="253">
                  <c:v>765.73288168619899</c:v>
                </c:pt>
                <c:pt idx="254">
                  <c:v>765.71105795036726</c:v>
                </c:pt>
                <c:pt idx="255">
                  <c:v>765.68969796892191</c:v>
                </c:pt>
                <c:pt idx="256">
                  <c:v>765.66879188708242</c:v>
                </c:pt>
                <c:pt idx="257">
                  <c:v>765.64833005948196</c:v>
                </c:pt>
                <c:pt idx="258">
                  <c:v>765.62830304571787</c:v>
                </c:pt>
                <c:pt idx="259">
                  <c:v>765.60870160599643</c:v>
                </c:pt>
                <c:pt idx="260">
                  <c:v>765.58951669686894</c:v>
                </c:pt>
                <c:pt idx="261">
                  <c:v>765.57073946706043</c:v>
                </c:pt>
                <c:pt idx="262">
                  <c:v>765.55236125338547</c:v>
                </c:pt>
                <c:pt idx="263">
                  <c:v>765.53437357675102</c:v>
                </c:pt>
                <c:pt idx="264">
                  <c:v>765.51676813824508</c:v>
                </c:pt>
                <c:pt idx="265">
                  <c:v>765.49953681530735</c:v>
                </c:pt>
                <c:pt idx="266">
                  <c:v>765.48267165798211</c:v>
                </c:pt>
                <c:pt idx="267">
                  <c:v>765.46616488525001</c:v>
                </c:pt>
                <c:pt idx="268">
                  <c:v>765.45000888143841</c:v>
                </c:pt>
                <c:pt idx="269">
                  <c:v>765.43419619270787</c:v>
                </c:pt>
                <c:pt idx="270">
                  <c:v>765.41871952361282</c:v>
                </c:pt>
                <c:pt idx="271">
                  <c:v>765.40357173373604</c:v>
                </c:pt>
                <c:pt idx="272">
                  <c:v>765.38874583439417</c:v>
                </c:pt>
                <c:pt idx="273">
                  <c:v>765.3742349854133</c:v>
                </c:pt>
                <c:pt idx="274">
                  <c:v>765.36003249197336</c:v>
                </c:pt>
                <c:pt idx="275">
                  <c:v>765.34613180151894</c:v>
                </c:pt>
                <c:pt idx="276">
                  <c:v>765.33252650073666</c:v>
                </c:pt>
                <c:pt idx="277">
                  <c:v>765.31921031259606</c:v>
                </c:pt>
                <c:pt idx="278">
                  <c:v>765.30617709345336</c:v>
                </c:pt>
                <c:pt idx="279">
                  <c:v>765.29342083021743</c:v>
                </c:pt>
                <c:pt idx="280">
                  <c:v>765.28093563757523</c:v>
                </c:pt>
                <c:pt idx="281">
                  <c:v>765.26871575527673</c:v>
                </c:pt>
                <c:pt idx="282">
                  <c:v>765.25675554547706</c:v>
                </c:pt>
                <c:pt idx="283">
                  <c:v>765.24504949013567</c:v>
                </c:pt>
                <c:pt idx="284">
                  <c:v>765.23359218847031</c:v>
                </c:pt>
                <c:pt idx="285">
                  <c:v>765.22237835446538</c:v>
                </c:pt>
                <c:pt idx="286">
                  <c:v>765.21140281443297</c:v>
                </c:pt>
                <c:pt idx="287">
                  <c:v>765.20066050462628</c:v>
                </c:pt>
                <c:pt idx="288">
                  <c:v>765.19014646890298</c:v>
                </c:pt>
                <c:pt idx="289">
                  <c:v>765.17985585643873</c:v>
                </c:pt>
                <c:pt idx="290">
                  <c:v>765.16978391948942</c:v>
                </c:pt>
                <c:pt idx="291">
                  <c:v>765.15992601120024</c:v>
                </c:pt>
                <c:pt idx="292">
                  <c:v>765.15027758346218</c:v>
                </c:pt>
                <c:pt idx="293">
                  <c:v>765.14083418481357</c:v>
                </c:pt>
                <c:pt idx="294">
                  <c:v>765.1315914583862</c:v>
                </c:pt>
                <c:pt idx="295">
                  <c:v>765.12254513989546</c:v>
                </c:pt>
                <c:pt idx="296">
                  <c:v>765.11369105567269</c:v>
                </c:pt>
                <c:pt idx="297">
                  <c:v>765.10502512073958</c:v>
                </c:pt>
                <c:pt idx="298">
                  <c:v>765.0965433369239</c:v>
                </c:pt>
                <c:pt idx="299">
                  <c:v>765.0882417910143</c:v>
                </c:pt>
                <c:pt idx="300">
                  <c:v>765.08011665295521</c:v>
                </c:pt>
                <c:pt idx="301">
                  <c:v>765.07216417407994</c:v>
                </c:pt>
                <c:pt idx="302">
                  <c:v>765.0643806853808</c:v>
                </c:pt>
                <c:pt idx="303">
                  <c:v>765.05676259581651</c:v>
                </c:pt>
                <c:pt idx="304">
                  <c:v>765.04930639065549</c:v>
                </c:pt>
                <c:pt idx="305">
                  <c:v>765.04200862985408</c:v>
                </c:pt>
                <c:pt idx="306">
                  <c:v>765.03486594646961</c:v>
                </c:pt>
                <c:pt idx="307">
                  <c:v>765.02787504510707</c:v>
                </c:pt>
                <c:pt idx="308">
                  <c:v>765.02103270039856</c:v>
                </c:pt>
                <c:pt idx="309">
                  <c:v>765.01433575551505</c:v>
                </c:pt>
                <c:pt idx="310">
                  <c:v>765.00778112071043</c:v>
                </c:pt>
                <c:pt idx="311">
                  <c:v>765.00136577189528</c:v>
                </c:pt>
                <c:pt idx="312">
                  <c:v>764.99508674924255</c:v>
                </c:pt>
                <c:pt idx="313">
                  <c:v>764.98894115582118</c:v>
                </c:pt>
                <c:pt idx="314">
                  <c:v>764.98292615625985</c:v>
                </c:pt>
                <c:pt idx="315">
                  <c:v>764.97703897543931</c:v>
                </c:pt>
                <c:pt idx="316">
                  <c:v>764.97127689721128</c:v>
                </c:pt>
                <c:pt idx="317">
                  <c:v>764.96563726314548</c:v>
                </c:pt>
                <c:pt idx="318">
                  <c:v>764.96011747130365</c:v>
                </c:pt>
                <c:pt idx="319">
                  <c:v>764.95471497503843</c:v>
                </c:pt>
                <c:pt idx="320">
                  <c:v>764.94942728181877</c:v>
                </c:pt>
                <c:pt idx="321">
                  <c:v>764.94425195208009</c:v>
                </c:pt>
                <c:pt idx="322">
                  <c:v>764.93918659809833</c:v>
                </c:pt>
                <c:pt idx="323">
                  <c:v>764.93422888288876</c:v>
                </c:pt>
                <c:pt idx="324">
                  <c:v>764.92937651912735</c:v>
                </c:pt>
                <c:pt idx="325">
                  <c:v>764.92462726809583</c:v>
                </c:pt>
                <c:pt idx="326">
                  <c:v>764.9199789386488</c:v>
                </c:pt>
                <c:pt idx="327">
                  <c:v>764.9154293862025</c:v>
                </c:pt>
                <c:pt idx="328">
                  <c:v>764.91097651174573</c:v>
                </c:pt>
                <c:pt idx="329">
                  <c:v>764.90661826087114</c:v>
                </c:pt>
                <c:pt idx="330">
                  <c:v>764.90235262282761</c:v>
                </c:pt>
                <c:pt idx="331">
                  <c:v>764.89817762959251</c:v>
                </c:pt>
                <c:pt idx="332">
                  <c:v>764.89409135496373</c:v>
                </c:pt>
                <c:pt idx="333">
                  <c:v>764.89009191367074</c:v>
                </c:pt>
                <c:pt idx="334">
                  <c:v>764.88617746050522</c:v>
                </c:pt>
                <c:pt idx="335">
                  <c:v>764.88234618946956</c:v>
                </c:pt>
                <c:pt idx="336">
                  <c:v>764.8785963329434</c:v>
                </c:pt>
                <c:pt idx="337">
                  <c:v>764.87492616086831</c:v>
                </c:pt>
                <c:pt idx="338">
                  <c:v>764.8713339799499</c:v>
                </c:pt>
                <c:pt idx="339">
                  <c:v>764.86781813287587</c:v>
                </c:pt>
                <c:pt idx="340">
                  <c:v>764.8643769975522</c:v>
                </c:pt>
                <c:pt idx="341">
                  <c:v>764.86100898635414</c:v>
                </c:pt>
                <c:pt idx="342">
                  <c:v>764.85771254539407</c:v>
                </c:pt>
                <c:pt idx="343">
                  <c:v>764.85448615380449</c:v>
                </c:pt>
                <c:pt idx="344">
                  <c:v>764.85132832303611</c:v>
                </c:pt>
                <c:pt idx="345">
                  <c:v>764.84823759617154</c:v>
                </c:pt>
                <c:pt idx="346">
                  <c:v>764.84521254725291</c:v>
                </c:pt>
                <c:pt idx="347">
                  <c:v>764.84225178062377</c:v>
                </c:pt>
                <c:pt idx="348">
                  <c:v>764.83935393028548</c:v>
                </c:pt>
                <c:pt idx="349">
                  <c:v>764.83651765926686</c:v>
                </c:pt>
                <c:pt idx="350">
                  <c:v>764.8337416590075</c:v>
                </c:pt>
                <c:pt idx="351">
                  <c:v>764.83102464875367</c:v>
                </c:pt>
                <c:pt idx="352">
                  <c:v>764.82836537496758</c:v>
                </c:pt>
                <c:pt idx="353">
                  <c:v>764.82576261074951</c:v>
                </c:pt>
                <c:pt idx="354">
                  <c:v>764.8232151552711</c:v>
                </c:pt>
                <c:pt idx="355">
                  <c:v>764.82072183322157</c:v>
                </c:pt>
                <c:pt idx="356">
                  <c:v>764.81828149426565</c:v>
                </c:pt>
                <c:pt idx="357">
                  <c:v>764.81589301251256</c:v>
                </c:pt>
                <c:pt idx="358">
                  <c:v>764.8135552859967</c:v>
                </c:pt>
                <c:pt idx="359">
                  <c:v>764.81126723616921</c:v>
                </c:pt>
                <c:pt idx="360">
                  <c:v>764.80902780740064</c:v>
                </c:pt>
                <c:pt idx="361">
                  <c:v>764.80683596649328</c:v>
                </c:pt>
                <c:pt idx="362">
                  <c:v>764.80469070220522</c:v>
                </c:pt>
                <c:pt idx="363">
                  <c:v>764.8025910247834</c:v>
                </c:pt>
                <c:pt idx="364">
                  <c:v>764.80053596550681</c:v>
                </c:pt>
                <c:pt idx="365">
                  <c:v>764.79852457623974</c:v>
                </c:pt>
                <c:pt idx="366">
                  <c:v>764.79655592899474</c:v>
                </c:pt>
                <c:pt idx="367">
                  <c:v>764.79462911550365</c:v>
                </c:pt>
                <c:pt idx="368">
                  <c:v>764.7927432467992</c:v>
                </c:pt>
                <c:pt idx="369">
                  <c:v>764.79089745280476</c:v>
                </c:pt>
                <c:pt idx="370">
                  <c:v>764.78909088193268</c:v>
                </c:pt>
                <c:pt idx="371">
                  <c:v>764.78732270069167</c:v>
                </c:pt>
                <c:pt idx="372">
                  <c:v>764.78559209330194</c:v>
                </c:pt>
                <c:pt idx="373">
                  <c:v>764.78389826131922</c:v>
                </c:pt>
                <c:pt idx="374">
                  <c:v>764.7822404232661</c:v>
                </c:pt>
                <c:pt idx="375">
                  <c:v>764.78061781427175</c:v>
                </c:pt>
                <c:pt idx="376">
                  <c:v>764.77902968571846</c:v>
                </c:pt>
                <c:pt idx="377">
                  <c:v>764.77747530489694</c:v>
                </c:pt>
                <c:pt idx="378">
                  <c:v>764.7759539546679</c:v>
                </c:pt>
                <c:pt idx="379">
                  <c:v>764.77446493313118</c:v>
                </c:pt>
                <c:pt idx="380">
                  <c:v>764.77300755330214</c:v>
                </c:pt>
                <c:pt idx="381">
                  <c:v>764.77158114279439</c:v>
                </c:pt>
                <c:pt idx="382">
                  <c:v>764.77018504350997</c:v>
                </c:pt>
                <c:pt idx="383">
                  <c:v>764.7688186113354</c:v>
                </c:pt>
                <c:pt idx="384">
                  <c:v>764.76748121584444</c:v>
                </c:pt>
                <c:pt idx="385">
                  <c:v>764.76617224000768</c:v>
                </c:pt>
                <c:pt idx="386">
                  <c:v>764.76489107990744</c:v>
                </c:pt>
                <c:pt idx="387">
                  <c:v>764.76363714445938</c:v>
                </c:pt>
                <c:pt idx="388">
                  <c:v>764.76240985513959</c:v>
                </c:pt>
                <c:pt idx="389">
                  <c:v>764.76120864571794</c:v>
                </c:pt>
                <c:pt idx="390">
                  <c:v>764.76003296199633</c:v>
                </c:pt>
                <c:pt idx="391">
                  <c:v>764.75888226155394</c:v>
                </c:pt>
                <c:pt idx="392">
                  <c:v>764.75775601349585</c:v>
                </c:pt>
                <c:pt idx="393">
                  <c:v>764.75665369820911</c:v>
                </c:pt>
                <c:pt idx="394">
                  <c:v>764.75557480712212</c:v>
                </c:pt>
                <c:pt idx="395">
                  <c:v>764.75451884247082</c:v>
                </c:pt>
                <c:pt idx="396">
                  <c:v>764.75348531706823</c:v>
                </c:pt>
                <c:pt idx="397">
                  <c:v>764.75247375408048</c:v>
                </c:pt>
                <c:pt idx="398">
                  <c:v>764.7514836868063</c:v>
                </c:pt>
                <c:pt idx="399">
                  <c:v>764.75051465846161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DSM!$L$1</c:f>
              <c:strCache>
                <c:ptCount val="1"/>
                <c:pt idx="0">
                  <c:v>Old,  people</c:v>
                </c:pt>
              </c:strCache>
            </c:strRef>
          </c:tx>
          <c:marker>
            <c:symbol val="none"/>
          </c:marker>
          <c:cat>
            <c:numRef>
              <c:f>DSM!$F$2:$F$402</c:f>
              <c:numCache>
                <c:formatCode>0.00</c:formatCode>
                <c:ptCount val="4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</c:numCache>
            </c:numRef>
          </c:cat>
          <c:val>
            <c:numRef>
              <c:f>DSM!$L$2:$L$402</c:f>
              <c:numCache>
                <c:formatCode>0.00</c:formatCode>
                <c:ptCount val="401"/>
                <c:pt idx="0" formatCode="#,##0.00">
                  <c:v>50</c:v>
                </c:pt>
                <c:pt idx="1">
                  <c:v>56.125</c:v>
                </c:pt>
                <c:pt idx="2">
                  <c:v>62.2034375</c:v>
                </c:pt>
                <c:pt idx="3">
                  <c:v>68.23609296875</c:v>
                </c:pt>
                <c:pt idx="4">
                  <c:v>74.223730812499994</c:v>
                </c:pt>
                <c:pt idx="5">
                  <c:v>80.167099715021962</c:v>
                </c:pt>
                <c:pt idx="6">
                  <c:v>86.066932970409624</c:v>
                </c:pt>
                <c:pt idx="7">
                  <c:v>91.92394880880947</c:v>
                </c:pt>
                <c:pt idx="8">
                  <c:v>97.738850715233269</c:v>
                </c:pt>
                <c:pt idx="9">
                  <c:v>103.51232774159902</c:v>
                </c:pt>
                <c:pt idx="10">
                  <c:v>109.24505481214435</c:v>
                </c:pt>
                <c:pt idx="11">
                  <c:v>114.93769302235295</c:v>
                </c:pt>
                <c:pt idx="12">
                  <c:v>120.5908899315322</c:v>
                </c:pt>
                <c:pt idx="13">
                  <c:v>126.20527984917663</c:v>
                </c:pt>
                <c:pt idx="14">
                  <c:v>131.78148411524941</c:v>
                </c:pt>
                <c:pt idx="15">
                  <c:v>137.32011137451096</c:v>
                </c:pt>
                <c:pt idx="16">
                  <c:v>142.82175784502144</c:v>
                </c:pt>
                <c:pt idx="17">
                  <c:v>148.2870075809405</c:v>
                </c:pt>
                <c:pt idx="18">
                  <c:v>153.71643272974597</c:v>
                </c:pt>
                <c:pt idx="19">
                  <c:v>159.11059378398957</c:v>
                </c:pt>
                <c:pt idx="20">
                  <c:v>164.47003982770613</c:v>
                </c:pt>
                <c:pt idx="21">
                  <c:v>169.79530877758964</c:v>
                </c:pt>
                <c:pt idx="22">
                  <c:v>175.08692761904757</c:v>
                </c:pt>
                <c:pt idx="23">
                  <c:v>180.34541263724208</c:v>
                </c:pt>
                <c:pt idx="24">
                  <c:v>185.5712696432247</c:v>
                </c:pt>
                <c:pt idx="25">
                  <c:v>190.76499419526888</c:v>
                </c:pt>
                <c:pt idx="26">
                  <c:v>195.92707181550222</c:v>
                </c:pt>
                <c:pt idx="27">
                  <c:v>201.05797820193837</c:v>
                </c:pt>
                <c:pt idx="28">
                  <c:v>206.15817943600646</c:v>
                </c:pt>
                <c:pt idx="29">
                  <c:v>211.22813218567347</c:v>
                </c:pt>
                <c:pt idx="30">
                  <c:v>216.26828390425337</c:v>
                </c:pt>
                <c:pt idx="31">
                  <c:v>221.2790730249946</c:v>
                </c:pt>
                <c:pt idx="32">
                  <c:v>226.26092915153583</c:v>
                </c:pt>
                <c:pt idx="33">
                  <c:v>231.21427324431727</c:v>
                </c:pt>
                <c:pt idx="34">
                  <c:v>236.13951780303395</c:v>
                </c:pt>
                <c:pt idx="35">
                  <c:v>241.03706704521503</c:v>
                </c:pt>
                <c:pt idx="36">
                  <c:v>245.907317081011</c:v>
                </c:pt>
                <c:pt idx="37">
                  <c:v>250.75065608427005</c:v>
                </c:pt>
                <c:pt idx="38">
                  <c:v>255.56746445998175</c:v>
                </c:pt>
                <c:pt idx="39">
                  <c:v>260.35811500816584</c:v>
                </c:pt>
                <c:pt idx="40">
                  <c:v>265.12297308428111</c:v>
                </c:pt>
                <c:pt idx="41">
                  <c:v>269.86239675622886</c:v>
                </c:pt>
                <c:pt idx="42">
                  <c:v>274.57673695802271</c:v>
                </c:pt>
                <c:pt idx="43">
                  <c:v>279.2663376401963</c:v>
                </c:pt>
                <c:pt idx="44">
                  <c:v>283.93153591701736</c:v>
                </c:pt>
                <c:pt idx="45">
                  <c:v>288.57266221057677</c:v>
                </c:pt>
                <c:pt idx="46">
                  <c:v>293.19004039181857</c:v>
                </c:pt>
                <c:pt idx="47">
                  <c:v>297.78398791857597</c:v>
                </c:pt>
                <c:pt idx="48">
                  <c:v>302.35481597067707</c:v>
                </c:pt>
                <c:pt idx="49">
                  <c:v>306.90282958218256</c:v>
                </c:pt>
                <c:pt idx="50">
                  <c:v>311.42832777081634</c:v>
                </c:pt>
                <c:pt idx="51">
                  <c:v>315.93160366464855</c:v>
                </c:pt>
                <c:pt idx="52">
                  <c:v>320.41294462608943</c:v>
                </c:pt>
                <c:pt idx="53">
                  <c:v>324.87263237325141</c:v>
                </c:pt>
                <c:pt idx="54">
                  <c:v>329.31094309873498</c:v>
                </c:pt>
                <c:pt idx="55">
                  <c:v>333.72814758589351</c:v>
                </c:pt>
                <c:pt idx="56">
                  <c:v>338.12451132262993</c:v>
                </c:pt>
                <c:pt idx="57">
                  <c:v>342.5002946127783</c:v>
                </c:pt>
                <c:pt idx="58">
                  <c:v>346.85575268512167</c:v>
                </c:pt>
                <c:pt idx="59">
                  <c:v>351.19113580009559</c:v>
                </c:pt>
                <c:pt idx="60">
                  <c:v>355.50668935422749</c:v>
                </c:pt>
                <c:pt idx="61">
                  <c:v>359.80265398235935</c:v>
                </c:pt>
                <c:pt idx="62">
                  <c:v>364.07926565770111</c:v>
                </c:pt>
                <c:pt idx="63">
                  <c:v>368.33675578976073</c:v>
                </c:pt>
                <c:pt idx="64">
                  <c:v>372.57535132019586</c:v>
                </c:pt>
                <c:pt idx="65">
                  <c:v>376.79527481663183</c:v>
                </c:pt>
                <c:pt idx="66">
                  <c:v>380.99674456448855</c:v>
                </c:pt>
                <c:pt idx="67">
                  <c:v>385.17997465685903</c:v>
                </c:pt>
                <c:pt idx="68">
                  <c:v>389.34517508248075</c:v>
                </c:pt>
                <c:pt idx="69">
                  <c:v>393.49255181184031</c:v>
                </c:pt>
                <c:pt idx="70">
                  <c:v>397.62230688145132</c:v>
                </c:pt>
                <c:pt idx="71">
                  <c:v>401.73463847634406</c:v>
                </c:pt>
                <c:pt idx="72">
                  <c:v>405.82974101080504</c:v>
                </c:pt>
                <c:pt idx="73">
                  <c:v>409.9078052074035</c:v>
                </c:pt>
                <c:pt idx="74">
                  <c:v>413.96901817434156</c:v>
                </c:pt>
                <c:pt idx="75">
                  <c:v>418.01356348116315</c:v>
                </c:pt>
                <c:pt idx="76">
                  <c:v>422.04162123285721</c:v>
                </c:pt>
                <c:pt idx="77">
                  <c:v>426.05336814238865</c:v>
                </c:pt>
                <c:pt idx="78">
                  <c:v>430.04897760169069</c:v>
                </c:pt>
                <c:pt idx="79">
                  <c:v>434.02861975115178</c:v>
                </c:pt>
                <c:pt idx="80">
                  <c:v>437.99246154762807</c:v>
                </c:pt>
                <c:pt idx="81">
                  <c:v>441.94066683101374</c:v>
                </c:pt>
                <c:pt idx="82">
                  <c:v>445.87339638939932</c:v>
                </c:pt>
                <c:pt idx="83">
                  <c:v>449.79080802284784</c:v>
                </c:pt>
                <c:pt idx="84">
                  <c:v>453.69305660581875</c:v>
                </c:pt>
                <c:pt idx="85">
                  <c:v>457.58029414826791</c:v>
                </c:pt>
                <c:pt idx="86">
                  <c:v>461.45266985545169</c:v>
                </c:pt>
                <c:pt idx="87">
                  <c:v>465.31033018646326</c:v>
                </c:pt>
                <c:pt idx="88">
                  <c:v>469.15341891152724</c:v>
                </c:pt>
                <c:pt idx="89">
                  <c:v>472.98207716807974</c:v>
                </c:pt>
                <c:pt idx="90">
                  <c:v>476.79644351565946</c:v>
                </c:pt>
                <c:pt idx="91">
                  <c:v>480.5966539896346</c:v>
                </c:pt>
                <c:pt idx="92">
                  <c:v>484.3828421537911</c:v>
                </c:pt>
                <c:pt idx="93">
                  <c:v>488.15513915180566</c:v>
                </c:pt>
                <c:pt idx="94">
                  <c:v>491.91367375762798</c:v>
                </c:pt>
                <c:pt idx="95">
                  <c:v>495.65857242479456</c:v>
                </c:pt>
                <c:pt idx="96">
                  <c:v>499.38995933469755</c:v>
                </c:pt>
                <c:pt idx="97">
                  <c:v>503.10795644383029</c:v>
                </c:pt>
                <c:pt idx="98">
                  <c:v>506.81268353003145</c:v>
                </c:pt>
                <c:pt idx="99">
                  <c:v>510.50425823774924</c:v>
                </c:pt>
                <c:pt idx="100">
                  <c:v>514.18279612234619</c:v>
                </c:pt>
                <c:pt idx="101">
                  <c:v>517.8484106934651</c:v>
                </c:pt>
                <c:pt idx="102">
                  <c:v>521.50121345747596</c:v>
                </c:pt>
                <c:pt idx="103">
                  <c:v>525.14131395902348</c:v>
                </c:pt>
                <c:pt idx="104">
                  <c:v>528.76881982169425</c:v>
                </c:pt>
                <c:pt idx="105">
                  <c:v>532.38383678782259</c:v>
                </c:pt>
                <c:pt idx="106">
                  <c:v>535.98646875745237</c:v>
                </c:pt>
                <c:pt idx="107">
                  <c:v>539.5768178264741</c:v>
                </c:pt>
                <c:pt idx="108">
                  <c:v>543.15498432395373</c:v>
                </c:pt>
                <c:pt idx="109">
                  <c:v>546.72106684867128</c:v>
                </c:pt>
                <c:pt idx="110">
                  <c:v>550.27516230488459</c:v>
                </c:pt>
                <c:pt idx="111">
                  <c:v>553.81736593733649</c:v>
                </c:pt>
                <c:pt idx="112">
                  <c:v>557.3477713655202</c:v>
                </c:pt>
                <c:pt idx="113">
                  <c:v>560.86647061721908</c:v>
                </c:pt>
                <c:pt idx="114">
                  <c:v>564.3735541613363</c:v>
                </c:pt>
                <c:pt idx="115">
                  <c:v>567.86911094002926</c:v>
                </c:pt>
                <c:pt idx="116">
                  <c:v>571.3532284001634</c:v>
                </c:pt>
                <c:pt idx="117">
                  <c:v>574.82599252410068</c:v>
                </c:pt>
                <c:pt idx="118">
                  <c:v>578.28748785983566</c:v>
                </c:pt>
                <c:pt idx="119">
                  <c:v>581.73779755049407</c:v>
                </c:pt>
                <c:pt idx="120">
                  <c:v>585.17700336320684</c:v>
                </c:pt>
                <c:pt idx="121">
                  <c:v>588.60518571737282</c:v>
                </c:pt>
                <c:pt idx="122">
                  <c:v>592.02242371232364</c:v>
                </c:pt>
                <c:pt idx="123">
                  <c:v>595.42879515440313</c:v>
                </c:pt>
                <c:pt idx="124">
                  <c:v>598.82437658347351</c:v>
                </c:pt>
                <c:pt idx="125">
                  <c:v>602.20924329886088</c:v>
                </c:pt>
                <c:pt idx="126">
                  <c:v>605.58346938475188</c:v>
                </c:pt>
                <c:pt idx="127">
                  <c:v>608.94712773505273</c:v>
                </c:pt>
                <c:pt idx="128">
                  <c:v>612.30029007772282</c:v>
                </c:pt>
                <c:pt idx="129">
                  <c:v>615.64302699859354</c:v>
                </c:pt>
                <c:pt idx="130">
                  <c:v>618.9754079646832</c:v>
                </c:pt>
                <c:pt idx="131">
                  <c:v>622.29750134701897</c:v>
                </c:pt>
                <c:pt idx="132">
                  <c:v>625.6093744429761</c:v>
                </c:pt>
                <c:pt idx="133">
                  <c:v>628.91109349814519</c:v>
                </c:pt>
                <c:pt idx="134">
                  <c:v>632.20272372773672</c:v>
                </c:pt>
                <c:pt idx="135">
                  <c:v>635.48432933753338</c:v>
                </c:pt>
                <c:pt idx="136">
                  <c:v>638.75597354439935</c:v>
                </c:pt>
                <c:pt idx="137">
                  <c:v>642.01771859635619</c:v>
                </c:pt>
                <c:pt idx="138">
                  <c:v>645.26962579223448</c:v>
                </c:pt>
                <c:pt idx="139">
                  <c:v>648.51175550091023</c:v>
                </c:pt>
                <c:pt idx="140">
                  <c:v>651.74416718013481</c:v>
                </c:pt>
                <c:pt idx="141">
                  <c:v>654.96691939496679</c:v>
                </c:pt>
                <c:pt idx="142">
                  <c:v>658.18006983581506</c:v>
                </c:pt>
                <c:pt idx="143">
                  <c:v>661.38367533610028</c:v>
                </c:pt>
                <c:pt idx="144">
                  <c:v>664.57779188954373</c:v>
                </c:pt>
                <c:pt idx="145">
                  <c:v>667.76247466709071</c:v>
                </c:pt>
                <c:pt idx="146">
                  <c:v>670.93777803347677</c:v>
                </c:pt>
                <c:pt idx="147">
                  <c:v>674.10375556344445</c:v>
                </c:pt>
                <c:pt idx="148">
                  <c:v>677.26046005761737</c:v>
                </c:pt>
                <c:pt idx="149">
                  <c:v>680.40794355803939</c:v>
                </c:pt>
                <c:pt idx="150">
                  <c:v>683.54625736338585</c:v>
                </c:pt>
                <c:pt idx="151">
                  <c:v>686.67545204385385</c:v>
                </c:pt>
                <c:pt idx="152">
                  <c:v>689.79557745573823</c:v>
                </c:pt>
                <c:pt idx="153">
                  <c:v>692.90668275570056</c:v>
                </c:pt>
                <c:pt idx="154">
                  <c:v>696.00881641473643</c:v>
                </c:pt>
                <c:pt idx="155">
                  <c:v>699.10202623184887</c:v>
                </c:pt>
                <c:pt idx="156">
                  <c:v>702.18635934743281</c:v>
                </c:pt>
                <c:pt idx="157">
                  <c:v>705.26186225637809</c:v>
                </c:pt>
                <c:pt idx="158">
                  <c:v>708.32858082089558</c:v>
                </c:pt>
                <c:pt idx="159">
                  <c:v>711.38656028307344</c:v>
                </c:pt>
                <c:pt idx="160">
                  <c:v>714.43584527716837</c:v>
                </c:pt>
                <c:pt idx="161">
                  <c:v>717.47647984163859</c:v>
                </c:pt>
                <c:pt idx="162">
                  <c:v>720.50850743092224</c:v>
                </c:pt>
                <c:pt idx="163">
                  <c:v>723.53197092696882</c:v>
                </c:pt>
                <c:pt idx="164">
                  <c:v>726.54691265052702</c:v>
                </c:pt>
                <c:pt idx="165">
                  <c:v>729.55337437219521</c:v>
                </c:pt>
                <c:pt idx="166">
                  <c:v>732.55139732323926</c:v>
                </c:pt>
                <c:pt idx="167">
                  <c:v>735.54102220618245</c:v>
                </c:pt>
                <c:pt idx="168">
                  <c:v>738.52228920517291</c:v>
                </c:pt>
                <c:pt idx="169">
                  <c:v>741.49523799613269</c:v>
                </c:pt>
                <c:pt idx="170">
                  <c:v>744.45990775669316</c:v>
                </c:pt>
                <c:pt idx="171">
                  <c:v>747.41633717592174</c:v>
                </c:pt>
                <c:pt idx="172">
                  <c:v>750.36456446384409</c:v>
                </c:pt>
                <c:pt idx="173">
                  <c:v>753.30462736076583</c:v>
                </c:pt>
                <c:pt idx="174">
                  <c:v>756.23656314639857</c:v>
                </c:pt>
                <c:pt idx="175">
                  <c:v>759.16040864879392</c:v>
                </c:pt>
                <c:pt idx="176">
                  <c:v>762.07620025309029</c:v>
                </c:pt>
                <c:pt idx="177">
                  <c:v>764.98397391007518</c:v>
                </c:pt>
                <c:pt idx="178">
                  <c:v>767.8837651445682</c:v>
                </c:pt>
                <c:pt idx="179">
                  <c:v>770.77560906362805</c:v>
                </c:pt>
                <c:pt idx="180">
                  <c:v>773.65954036458686</c:v>
                </c:pt>
                <c:pt idx="181">
                  <c:v>776.5355933429164</c:v>
                </c:pt>
                <c:pt idx="182">
                  <c:v>779.40380189992879</c:v>
                </c:pt>
                <c:pt idx="183">
                  <c:v>782.26419955031577</c:v>
                </c:pt>
                <c:pt idx="184">
                  <c:v>785.1168194295301</c:v>
                </c:pt>
                <c:pt idx="185">
                  <c:v>787.96169430101202</c:v>
                </c:pt>
                <c:pt idx="186">
                  <c:v>790.79885656326405</c:v>
                </c:pt>
                <c:pt idx="187">
                  <c:v>793.62833825677785</c:v>
                </c:pt>
                <c:pt idx="188">
                  <c:v>796.45017107081571</c:v>
                </c:pt>
                <c:pt idx="189">
                  <c:v>799.26438635005036</c:v>
                </c:pt>
                <c:pt idx="190">
                  <c:v>802.07101510106497</c:v>
                </c:pt>
                <c:pt idx="191">
                  <c:v>804.87008799871819</c:v>
                </c:pt>
                <c:pt idx="192">
                  <c:v>807.66163539237493</c:v>
                </c:pt>
                <c:pt idx="193">
                  <c:v>810.44568731200741</c:v>
                </c:pt>
                <c:pt idx="194">
                  <c:v>813.22227347416833</c:v>
                </c:pt>
                <c:pt idx="195">
                  <c:v>815.99142328783955</c:v>
                </c:pt>
                <c:pt idx="196">
                  <c:v>818.75316586015776</c:v>
                </c:pt>
                <c:pt idx="197">
                  <c:v>821.50753000202121</c:v>
                </c:pt>
                <c:pt idx="198">
                  <c:v>824.25454423357905</c:v>
                </c:pt>
                <c:pt idx="199">
                  <c:v>826.99423678960602</c:v>
                </c:pt>
                <c:pt idx="200">
                  <c:v>829.72663562476498</c:v>
                </c:pt>
                <c:pt idx="201">
                  <c:v>832.45176841875946</c:v>
                </c:pt>
                <c:pt idx="202">
                  <c:v>835.16966258137904</c:v>
                </c:pt>
                <c:pt idx="203">
                  <c:v>837.8803452574391</c:v>
                </c:pt>
                <c:pt idx="204">
                  <c:v>840.58384333161814</c:v>
                </c:pt>
                <c:pt idx="205">
                  <c:v>843.28018343319366</c:v>
                </c:pt>
                <c:pt idx="206">
                  <c:v>845.96939194067977</c:v>
                </c:pt>
                <c:pt idx="207">
                  <c:v>848.65149498636811</c:v>
                </c:pt>
                <c:pt idx="208">
                  <c:v>851.32651846077454</c:v>
                </c:pt>
                <c:pt idx="209">
                  <c:v>853.9944880169927</c:v>
                </c:pt>
                <c:pt idx="210">
                  <c:v>856.6554290749574</c:v>
                </c:pt>
                <c:pt idx="211">
                  <c:v>859.30936682561958</c:v>
                </c:pt>
                <c:pt idx="212">
                  <c:v>861.95632623503388</c:v>
                </c:pt>
                <c:pt idx="213">
                  <c:v>864.596332048362</c:v>
                </c:pt>
                <c:pt idx="214">
                  <c:v>867.22940879379235</c:v>
                </c:pt>
                <c:pt idx="215">
                  <c:v>869.8555807863786</c:v>
                </c:pt>
                <c:pt idx="216">
                  <c:v>872.47487213179875</c:v>
                </c:pt>
                <c:pt idx="217">
                  <c:v>875.08730673003595</c:v>
                </c:pt>
                <c:pt idx="218">
                  <c:v>877.69290827898305</c:v>
                </c:pt>
                <c:pt idx="219">
                  <c:v>880.29170027797261</c:v>
                </c:pt>
                <c:pt idx="220">
                  <c:v>882.88370603123383</c:v>
                </c:pt>
                <c:pt idx="221">
                  <c:v>885.46894865127786</c:v>
                </c:pt>
                <c:pt idx="222">
                  <c:v>888.04745106221287</c:v>
                </c:pt>
                <c:pt idx="223">
                  <c:v>890.6192360029911</c:v>
                </c:pt>
                <c:pt idx="224">
                  <c:v>893.18432603058818</c:v>
                </c:pt>
                <c:pt idx="225">
                  <c:v>895.74274352311716</c:v>
                </c:pt>
                <c:pt idx="226">
                  <c:v>898.29451068287824</c:v>
                </c:pt>
                <c:pt idx="227">
                  <c:v>900.83964953934526</c:v>
                </c:pt>
                <c:pt idx="228">
                  <c:v>903.37818195209115</c:v>
                </c:pt>
                <c:pt idx="229">
                  <c:v>905.91012961365254</c:v>
                </c:pt>
                <c:pt idx="230">
                  <c:v>908.43551405233575</c:v>
                </c:pt>
                <c:pt idx="231">
                  <c:v>910.95435663496448</c:v>
                </c:pt>
                <c:pt idx="232">
                  <c:v>913.46667856957174</c:v>
                </c:pt>
                <c:pt idx="233">
                  <c:v>915.97250090803584</c:v>
                </c:pt>
                <c:pt idx="234">
                  <c:v>918.47184454866238</c:v>
                </c:pt>
                <c:pt idx="235">
                  <c:v>920.96473023871329</c:v>
                </c:pt>
                <c:pt idx="236">
                  <c:v>923.45117857688388</c:v>
                </c:pt>
                <c:pt idx="237">
                  <c:v>925.93121001572899</c:v>
                </c:pt>
                <c:pt idx="238">
                  <c:v>928.40484486403966</c:v>
                </c:pt>
                <c:pt idx="239">
                  <c:v>930.87210328917081</c:v>
                </c:pt>
                <c:pt idx="240">
                  <c:v>933.33300531932173</c:v>
                </c:pt>
                <c:pt idx="241">
                  <c:v>935.78757084576932</c:v>
                </c:pt>
                <c:pt idx="242">
                  <c:v>938.23581962505614</c:v>
                </c:pt>
                <c:pt idx="243">
                  <c:v>940.67777128113369</c:v>
                </c:pt>
                <c:pt idx="244">
                  <c:v>943.11344530746192</c:v>
                </c:pt>
                <c:pt idx="245">
                  <c:v>945.54286106906545</c:v>
                </c:pt>
                <c:pt idx="246">
                  <c:v>947.96603780454893</c:v>
                </c:pt>
                <c:pt idx="247">
                  <c:v>950.38299462807049</c:v>
                </c:pt>
                <c:pt idx="248">
                  <c:v>952.79375053127501</c:v>
                </c:pt>
                <c:pt idx="249">
                  <c:v>955.19832438518881</c:v>
                </c:pt>
                <c:pt idx="250">
                  <c:v>957.59673494207516</c:v>
                </c:pt>
                <c:pt idx="251">
                  <c:v>959.98900083725255</c:v>
                </c:pt>
                <c:pt idx="252">
                  <c:v>962.37514059087562</c:v>
                </c:pt>
                <c:pt idx="253">
                  <c:v>964.7551726096807</c:v>
                </c:pt>
                <c:pt idx="254">
                  <c:v>967.12911518869521</c:v>
                </c:pt>
                <c:pt idx="255">
                  <c:v>969.49698651291328</c:v>
                </c:pt>
                <c:pt idx="256">
                  <c:v>971.85880465893672</c:v>
                </c:pt>
                <c:pt idx="257">
                  <c:v>974.21458759658367</c:v>
                </c:pt>
                <c:pt idx="258">
                  <c:v>976.56435319046398</c:v>
                </c:pt>
                <c:pt idx="259">
                  <c:v>978.9081192015235</c:v>
                </c:pt>
                <c:pt idx="260">
                  <c:v>981.2459032885572</c:v>
                </c:pt>
                <c:pt idx="261">
                  <c:v>983.57772300969123</c:v>
                </c:pt>
                <c:pt idx="262">
                  <c:v>985.9035958238361</c:v>
                </c:pt>
                <c:pt idx="263">
                  <c:v>988.22353909211017</c:v>
                </c:pt>
                <c:pt idx="264">
                  <c:v>990.53757007923457</c:v>
                </c:pt>
                <c:pt idx="265">
                  <c:v>992.8457059549005</c:v>
                </c:pt>
                <c:pt idx="266">
                  <c:v>995.14796379510892</c:v>
                </c:pt>
                <c:pt idx="267">
                  <c:v>997.44436058348356</c:v>
                </c:pt>
                <c:pt idx="268">
                  <c:v>999.73491321255767</c:v>
                </c:pt>
                <c:pt idx="269">
                  <c:v>1002.0196384850352</c:v>
                </c:pt>
                <c:pt idx="270">
                  <c:v>1004.2985531150271</c:v>
                </c:pt>
                <c:pt idx="271">
                  <c:v>1006.5716737292621</c:v>
                </c:pt>
                <c:pt idx="272">
                  <c:v>1008.8390168682748</c:v>
                </c:pt>
                <c:pt idx="273">
                  <c:v>1011.1005989875691</c:v>
                </c:pt>
                <c:pt idx="274">
                  <c:v>1013.356436458759</c:v>
                </c:pt>
                <c:pt idx="275">
                  <c:v>1015.606545570687</c:v>
                </c:pt>
                <c:pt idx="276">
                  <c:v>1017.8509425305198</c:v>
                </c:pt>
                <c:pt idx="277">
                  <c:v>1020.0896434648231</c:v>
                </c:pt>
                <c:pt idx="278">
                  <c:v>1022.3226644206147</c:v>
                </c:pt>
                <c:pt idx="279">
                  <c:v>1024.5500213663972</c:v>
                </c:pt>
                <c:pt idx="280">
                  <c:v>1026.77173019317</c:v>
                </c:pt>
                <c:pt idx="281">
                  <c:v>1028.987806715422</c:v>
                </c:pt>
                <c:pt idx="282">
                  <c:v>1031.198266672104</c:v>
                </c:pt>
                <c:pt idx="283">
                  <c:v>1033.4031257275828</c:v>
                </c:pt>
                <c:pt idx="284">
                  <c:v>1035.6023994725772</c:v>
                </c:pt>
                <c:pt idx="285">
                  <c:v>1037.7961034250736</c:v>
                </c:pt>
                <c:pt idx="286">
                  <c:v>1039.9842530312264</c:v>
                </c:pt>
                <c:pt idx="287">
                  <c:v>1042.1668636662387</c:v>
                </c:pt>
                <c:pt idx="288">
                  <c:v>1044.343950635227</c:v>
                </c:pt>
                <c:pt idx="289">
                  <c:v>1046.5155291740696</c:v>
                </c:pt>
                <c:pt idx="290">
                  <c:v>1048.6816144502372</c:v>
                </c:pt>
                <c:pt idx="291">
                  <c:v>1050.8422215636085</c:v>
                </c:pt>
                <c:pt idx="292">
                  <c:v>1052.9973655472695</c:v>
                </c:pt>
                <c:pt idx="293">
                  <c:v>1055.147061368298</c:v>
                </c:pt>
                <c:pt idx="294">
                  <c:v>1057.2913239285324</c:v>
                </c:pt>
                <c:pt idx="295">
                  <c:v>1059.4301680653259</c:v>
                </c:pt>
                <c:pt idx="296">
                  <c:v>1061.563608552287</c:v>
                </c:pt>
                <c:pt idx="297">
                  <c:v>1063.6916601000041</c:v>
                </c:pt>
                <c:pt idx="298">
                  <c:v>1065.8143373567586</c:v>
                </c:pt>
                <c:pt idx="299">
                  <c:v>1067.9316549092225</c:v>
                </c:pt>
                <c:pt idx="300">
                  <c:v>1070.0436272831432</c:v>
                </c:pt>
                <c:pt idx="301">
                  <c:v>1072.1502689440163</c:v>
                </c:pt>
                <c:pt idx="302">
                  <c:v>1074.2515942977443</c:v>
                </c:pt>
                <c:pt idx="303">
                  <c:v>1076.3476176912836</c:v>
                </c:pt>
                <c:pt idx="304">
                  <c:v>1078.4383534132792</c:v>
                </c:pt>
                <c:pt idx="305">
                  <c:v>1080.5238156946875</c:v>
                </c:pt>
                <c:pt idx="306">
                  <c:v>1082.6040187093874</c:v>
                </c:pt>
                <c:pt idx="307">
                  <c:v>1084.6789765747794</c:v>
                </c:pt>
                <c:pt idx="308">
                  <c:v>1086.7487033523744</c:v>
                </c:pt>
                <c:pt idx="309">
                  <c:v>1088.8132130483709</c:v>
                </c:pt>
                <c:pt idx="310">
                  <c:v>1090.872519614222</c:v>
                </c:pt>
                <c:pt idx="311">
                  <c:v>1092.9266369471909</c:v>
                </c:pt>
                <c:pt idx="312">
                  <c:v>1094.9755788908972</c:v>
                </c:pt>
                <c:pt idx="313">
                  <c:v>1097.0193592358528</c:v>
                </c:pt>
                <c:pt idx="314">
                  <c:v>1099.0579917199871</c:v>
                </c:pt>
                <c:pt idx="315">
                  <c:v>1101.0914900291637</c:v>
                </c:pt>
                <c:pt idx="316">
                  <c:v>1103.1198677976872</c:v>
                </c:pt>
                <c:pt idx="317">
                  <c:v>1105.1431386088007</c:v>
                </c:pt>
                <c:pt idx="318">
                  <c:v>1107.1613159951733</c:v>
                </c:pt>
                <c:pt idx="319">
                  <c:v>1109.1744134393809</c:v>
                </c:pt>
                <c:pt idx="320">
                  <c:v>1111.1824443743765</c:v>
                </c:pt>
                <c:pt idx="321">
                  <c:v>1113.1854221839519</c:v>
                </c:pt>
                <c:pt idx="322">
                  <c:v>1115.1833602031925</c:v>
                </c:pt>
                <c:pt idx="323">
                  <c:v>1117.1762717189226</c:v>
                </c:pt>
                <c:pt idx="324">
                  <c:v>1119.1641699701433</c:v>
                </c:pt>
                <c:pt idx="325">
                  <c:v>1121.1470681484625</c:v>
                </c:pt>
                <c:pt idx="326">
                  <c:v>1123.1249793985169</c:v>
                </c:pt>
                <c:pt idx="327">
                  <c:v>1125.0979168183871</c:v>
                </c:pt>
                <c:pt idx="328">
                  <c:v>1127.0658934600049</c:v>
                </c:pt>
                <c:pt idx="329">
                  <c:v>1129.0289223295533</c:v>
                </c:pt>
                <c:pt idx="330">
                  <c:v>1130.98701638786</c:v>
                </c:pt>
                <c:pt idx="331">
                  <c:v>1132.940188550783</c:v>
                </c:pt>
                <c:pt idx="332">
                  <c:v>1134.888451689591</c:v>
                </c:pt>
                <c:pt idx="333">
                  <c:v>1136.8318186313354</c:v>
                </c:pt>
                <c:pt idx="334">
                  <c:v>1138.7703021592174</c:v>
                </c:pt>
                <c:pt idx="335">
                  <c:v>1140.7039150129476</c:v>
                </c:pt>
                <c:pt idx="336">
                  <c:v>1142.6326698890994</c:v>
                </c:pt>
                <c:pt idx="337">
                  <c:v>1144.5565794414574</c:v>
                </c:pt>
                <c:pt idx="338">
                  <c:v>1146.4756562813593</c:v>
                </c:pt>
                <c:pt idx="339">
                  <c:v>1148.3899129780307</c:v>
                </c:pt>
                <c:pt idx="340">
                  <c:v>1150.2993620589161</c:v>
                </c:pt>
                <c:pt idx="341">
                  <c:v>1152.2040160100034</c:v>
                </c:pt>
                <c:pt idx="342">
                  <c:v>1154.103887276143</c:v>
                </c:pt>
                <c:pt idx="343">
                  <c:v>1155.9989882613613</c:v>
                </c:pt>
                <c:pt idx="344">
                  <c:v>1157.8893313291692</c:v>
                </c:pt>
                <c:pt idx="345">
                  <c:v>1159.7749288028651</c:v>
                </c:pt>
                <c:pt idx="346">
                  <c:v>1161.6557929658341</c:v>
                </c:pt>
                <c:pt idx="347">
                  <c:v>1163.5319360618398</c:v>
                </c:pt>
                <c:pt idx="348">
                  <c:v>1165.4033702953141</c:v>
                </c:pt>
                <c:pt idx="349">
                  <c:v>1167.27010783164</c:v>
                </c:pt>
                <c:pt idx="350">
                  <c:v>1169.1321607974312</c:v>
                </c:pt>
                <c:pt idx="351">
                  <c:v>1170.9895412808064</c:v>
                </c:pt>
                <c:pt idx="352">
                  <c:v>1172.8422613316591</c:v>
                </c:pt>
                <c:pt idx="353">
                  <c:v>1174.6903329619236</c:v>
                </c:pt>
                <c:pt idx="354">
                  <c:v>1176.5337681458359</c:v>
                </c:pt>
                <c:pt idx="355">
                  <c:v>1178.3725788201918</c:v>
                </c:pt>
                <c:pt idx="356">
                  <c:v>1180.2067768845991</c:v>
                </c:pt>
                <c:pt idx="357">
                  <c:v>1182.0363742017269</c:v>
                </c:pt>
                <c:pt idx="358">
                  <c:v>1183.8613825975508</c:v>
                </c:pt>
                <c:pt idx="359">
                  <c:v>1185.6818138615945</c:v>
                </c:pt>
                <c:pt idx="360">
                  <c:v>1187.4976797471666</c:v>
                </c:pt>
                <c:pt idx="361">
                  <c:v>1189.3089919715949</c:v>
                </c:pt>
                <c:pt idx="362">
                  <c:v>1191.1157622164565</c:v>
                </c:pt>
                <c:pt idx="363">
                  <c:v>1192.9180021278041</c:v>
                </c:pt>
                <c:pt idx="364">
                  <c:v>1194.7157233163896</c:v>
                </c:pt>
                <c:pt idx="365">
                  <c:v>1196.508937357883</c:v>
                </c:pt>
                <c:pt idx="366">
                  <c:v>1198.2976557930899</c:v>
                </c:pt>
                <c:pt idx="367">
                  <c:v>1200.0818901281634</c:v>
                </c:pt>
                <c:pt idx="368">
                  <c:v>1201.8616518348149</c:v>
                </c:pt>
                <c:pt idx="369">
                  <c:v>1203.6369523505205</c:v>
                </c:pt>
                <c:pt idx="370">
                  <c:v>1205.4078030787241</c:v>
                </c:pt>
                <c:pt idx="371">
                  <c:v>1207.1742153890393</c:v>
                </c:pt>
                <c:pt idx="372">
                  <c:v>1208.936200617446</c:v>
                </c:pt>
                <c:pt idx="373">
                  <c:v>1210.6937700664855</c:v>
                </c:pt>
                <c:pt idx="374">
                  <c:v>1212.4469350054526</c:v>
                </c:pt>
                <c:pt idx="375">
                  <c:v>1214.1957066705843</c:v>
                </c:pt>
                <c:pt idx="376">
                  <c:v>1215.9400962652471</c:v>
                </c:pt>
                <c:pt idx="377">
                  <c:v>1217.6801149601197</c:v>
                </c:pt>
                <c:pt idx="378">
                  <c:v>1219.415773893375</c:v>
                </c:pt>
                <c:pt idx="379">
                  <c:v>1221.1470841708583</c:v>
                </c:pt>
                <c:pt idx="380">
                  <c:v>1222.8740568662631</c:v>
                </c:pt>
                <c:pt idx="381">
                  <c:v>1224.5967030213055</c:v>
                </c:pt>
                <c:pt idx="382">
                  <c:v>1226.3150336458948</c:v>
                </c:pt>
                <c:pt idx="383">
                  <c:v>1228.0290597183021</c:v>
                </c:pt>
                <c:pt idx="384">
                  <c:v>1229.7387921853272</c:v>
                </c:pt>
                <c:pt idx="385">
                  <c:v>1231.4442419624629</c:v>
                </c:pt>
                <c:pt idx="386">
                  <c:v>1233.1454199340567</c:v>
                </c:pt>
                <c:pt idx="387">
                  <c:v>1234.842336953471</c:v>
                </c:pt>
                <c:pt idx="388">
                  <c:v>1236.5350038432402</c:v>
                </c:pt>
                <c:pt idx="389">
                  <c:v>1238.2234313952267</c:v>
                </c:pt>
                <c:pt idx="390">
                  <c:v>1239.9076303707743</c:v>
                </c:pt>
                <c:pt idx="391">
                  <c:v>1241.5876115008598</c:v>
                </c:pt>
                <c:pt idx="392">
                  <c:v>1243.2633854862424</c:v>
                </c:pt>
                <c:pt idx="393">
                  <c:v>1244.9349629976111</c:v>
                </c:pt>
                <c:pt idx="394">
                  <c:v>1246.602354675731</c:v>
                </c:pt>
                <c:pt idx="395">
                  <c:v>1248.2655711315863</c:v>
                </c:pt>
                <c:pt idx="396">
                  <c:v>1249.9246229465227</c:v>
                </c:pt>
                <c:pt idx="397">
                  <c:v>1251.5795206723881</c:v>
                </c:pt>
                <c:pt idx="398">
                  <c:v>1253.2302748316702</c:v>
                </c:pt>
                <c:pt idx="399">
                  <c:v>1254.8768959176334</c:v>
                </c:pt>
                <c:pt idx="400">
                  <c:v>1256.5193943944548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75968"/>
        <c:axId val="199477888"/>
      </c:lineChart>
      <c:catAx>
        <c:axId val="19947596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Years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4824038508177227"/>
              <c:y val="0.8854684524623670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477888"/>
        <c:crosses val="autoZero"/>
        <c:auto val="1"/>
        <c:lblAlgn val="ctr"/>
        <c:lblOffset val="100"/>
        <c:tickLblSkip val="50"/>
        <c:tickMarkSkip val="20"/>
        <c:noMultiLvlLbl val="0"/>
      </c:catAx>
      <c:valAx>
        <c:axId val="199477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People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9475968"/>
        <c:crossesAt val="1"/>
        <c:crossBetween val="midCat"/>
      </c:valAx>
    </c:plotArea>
    <c:legend>
      <c:legendPos val="b"/>
      <c:layout>
        <c:manualLayout>
          <c:xMode val="edge"/>
          <c:yMode val="edge"/>
          <c:x val="0.13272047772698389"/>
          <c:y val="0.9400844896007774"/>
          <c:w val="0.73830857519628312"/>
          <c:h val="5.4176254605576936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58784608749559"/>
          <c:y val="4.5201105199431824E-2"/>
          <c:w val="0.84552447513846862"/>
          <c:h val="0.80182967669062322"/>
        </c:manualLayout>
      </c:layout>
      <c:lineChart>
        <c:grouping val="standard"/>
        <c:varyColors val="0"/>
        <c:ser>
          <c:idx val="0"/>
          <c:order val="0"/>
          <c:tx>
            <c:strRef>
              <c:f>DSM!$O$1</c:f>
              <c:strCache>
                <c:ptCount val="1"/>
                <c:pt idx="0">
                  <c:v>Death All,  people</c:v>
                </c:pt>
              </c:strCache>
            </c:strRef>
          </c:tx>
          <c:marker>
            <c:symbol val="none"/>
          </c:marker>
          <c:cat>
            <c:numRef>
              <c:f>DSM!$F$2:$F$402</c:f>
              <c:numCache>
                <c:formatCode>0.00</c:formatCode>
                <c:ptCount val="4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</c:numCache>
            </c:numRef>
          </c:cat>
          <c:val>
            <c:numRef>
              <c:f>DSM!$O$2:$O$402</c:f>
              <c:numCache>
                <c:formatCode>0.00</c:formatCode>
                <c:ptCount val="401"/>
                <c:pt idx="0" formatCode="#,##0.00">
                  <c:v>0</c:v>
                </c:pt>
                <c:pt idx="1">
                  <c:v>2.625</c:v>
                </c:pt>
                <c:pt idx="2">
                  <c:v>5.2528125000000001</c:v>
                </c:pt>
                <c:pt idx="3">
                  <c:v>7.8835867187499993</c:v>
                </c:pt>
                <c:pt idx="4">
                  <c:v>10.517468181640623</c:v>
                </c:pt>
                <c:pt idx="5">
                  <c:v>13.154598800493162</c:v>
                </c:pt>
                <c:pt idx="6">
                  <c:v>15.795116951650803</c:v>
                </c:pt>
                <c:pt idx="7">
                  <c:v>18.439157552407174</c:v>
                </c:pt>
                <c:pt idx="8">
                  <c:v>21.086852135807526</c:v>
                </c:pt>
                <c:pt idx="9">
                  <c:v>23.738328923857146</c:v>
                </c:pt>
                <c:pt idx="10">
                  <c:v>26.393712899170875</c:v>
                </c:pt>
                <c:pt idx="11">
                  <c:v>29.053125875096825</c:v>
                </c:pt>
                <c:pt idx="12">
                  <c:v>31.716686564346762</c:v>
                </c:pt>
                <c:pt idx="13">
                  <c:v>34.384510646164898</c:v>
                </c:pt>
                <c:pt idx="14">
                  <c:v>37.056710832066123</c:v>
                </c:pt>
                <c:pt idx="15">
                  <c:v>39.733396930174116</c:v>
                </c:pt>
                <c:pt idx="16">
                  <c:v>42.414675908189089</c:v>
                </c:pt>
                <c:pt idx="17">
                  <c:v>45.100651955014293</c:v>
                </c:pt>
                <c:pt idx="18">
                  <c:v>47.791426541069775</c:v>
                </c:pt>
                <c:pt idx="19">
                  <c:v>50.487098477321332</c:v>
                </c:pt>
                <c:pt idx="20">
                  <c:v>53.187763973051922</c:v>
                </c:pt>
                <c:pt idx="21">
                  <c:v>55.893516692402294</c:v>
                </c:pt>
                <c:pt idx="22">
                  <c:v>58.604447809707025</c:v>
                </c:pt>
                <c:pt idx="23">
                  <c:v>61.320646063651495</c:v>
                </c:pt>
                <c:pt idx="24">
                  <c:v>64.042197810274885</c:v>
                </c:pt>
                <c:pt idx="25">
                  <c:v>66.769187074843842</c:v>
                </c:pt>
                <c:pt idx="26">
                  <c:v>69.501695602620615</c:v>
                </c:pt>
                <c:pt idx="27">
                  <c:v>72.239802908549336</c:v>
                </c:pt>
                <c:pt idx="28">
                  <c:v>74.983586325883351</c:v>
                </c:pt>
                <c:pt idx="29">
                  <c:v>77.733121053776173</c:v>
                </c:pt>
                <c:pt idx="30">
                  <c:v>80.488480203857989</c:v>
                </c:pt>
                <c:pt idx="31">
                  <c:v>83.249734845819376</c:v>
                </c:pt>
                <c:pt idx="32">
                  <c:v>86.016954052023351</c:v>
                </c:pt>
                <c:pt idx="33">
                  <c:v>88.790204941166294</c:v>
                </c:pt>
                <c:pt idx="34">
                  <c:v>91.56955272100808</c:v>
                </c:pt>
                <c:pt idx="35">
                  <c:v>94.355060730191127</c:v>
                </c:pt>
                <c:pt idx="36">
                  <c:v>97.146790479167777</c:v>
                </c:pt>
                <c:pt idx="37">
                  <c:v>99.944801690254934</c:v>
                </c:pt>
                <c:pt idx="38">
                  <c:v>102.74915233683457</c:v>
                </c:pt>
                <c:pt idx="39">
                  <c:v>105.55989868171814</c:v>
                </c:pt>
                <c:pt idx="40">
                  <c:v>108.37709531469282</c:v>
                </c:pt>
                <c:pt idx="41">
                  <c:v>111.2007951892669</c:v>
                </c:pt>
                <c:pt idx="42">
                  <c:v>114.03104965863125</c:v>
                </c:pt>
                <c:pt idx="43">
                  <c:v>116.86790851085377</c:v>
                </c:pt>
                <c:pt idx="44">
                  <c:v>119.71142000332289</c:v>
                </c:pt>
                <c:pt idx="45">
                  <c:v>122.56163089645622</c:v>
                </c:pt>
                <c:pt idx="46">
                  <c:v>125.41858648668996</c:v>
                </c:pt>
                <c:pt idx="47">
                  <c:v>128.28233063876428</c:v>
                </c:pt>
                <c:pt idx="48">
                  <c:v>131.15290581731975</c:v>
                </c:pt>
                <c:pt idx="49">
                  <c:v>134.03035311781935</c:v>
                </c:pt>
                <c:pt idx="50">
                  <c:v>136.91471229681051</c:v>
                </c:pt>
                <c:pt idx="51">
                  <c:v>139.80602180154125</c:v>
                </c:pt>
                <c:pt idx="52">
                  <c:v>142.70431879894386</c:v>
                </c:pt>
                <c:pt idx="53">
                  <c:v>145.60963920399996</c:v>
                </c:pt>
                <c:pt idx="54">
                  <c:v>148.52201770749977</c:v>
                </c:pt>
                <c:pt idx="55">
                  <c:v>151.44148780320876</c:v>
                </c:pt>
                <c:pt idx="56">
                  <c:v>154.36808181445394</c:v>
                </c:pt>
                <c:pt idx="57">
                  <c:v>157.30183092014252</c:v>
                </c:pt>
                <c:pt idx="58">
                  <c:v>160.24276518022458</c:v>
                </c:pt>
                <c:pt idx="59">
                  <c:v>163.19091356061207</c:v>
                </c:pt>
                <c:pt idx="60">
                  <c:v>166.14630395756515</c:v>
                </c:pt>
                <c:pt idx="61">
                  <c:v>169.1089632215577</c:v>
                </c:pt>
                <c:pt idx="62">
                  <c:v>172.07891718063269</c:v>
                </c:pt>
                <c:pt idx="63">
                  <c:v>175.05619066325849</c:v>
                </c:pt>
                <c:pt idx="64">
                  <c:v>178.04080752069669</c:v>
                </c:pt>
                <c:pt idx="65">
                  <c:v>181.03279064889176</c:v>
                </c:pt>
                <c:pt idx="66">
                  <c:v>184.03216200989266</c:v>
                </c:pt>
                <c:pt idx="67">
                  <c:v>187.03894265281659</c:v>
                </c:pt>
                <c:pt idx="68">
                  <c:v>190.05315273436429</c:v>
                </c:pt>
                <c:pt idx="69">
                  <c:v>193.0748115388968</c:v>
                </c:pt>
                <c:pt idx="70">
                  <c:v>196.10393749808262</c:v>
                </c:pt>
                <c:pt idx="71">
                  <c:v>199.14054821012479</c:v>
                </c:pt>
                <c:pt idx="72">
                  <c:v>202.18466045857636</c:v>
                </c:pt>
                <c:pt idx="73">
                  <c:v>205.23629023075355</c:v>
                </c:pt>
                <c:pt idx="74">
                  <c:v>208.29545273575468</c:v>
                </c:pt>
                <c:pt idx="75">
                  <c:v>211.36216242209352</c:v>
                </c:pt>
                <c:pt idx="76">
                  <c:v>214.43643299495523</c:v>
                </c:pt>
                <c:pt idx="77">
                  <c:v>217.5182774330828</c:v>
                </c:pt>
                <c:pt idx="78">
                  <c:v>220.60770800530199</c:v>
                </c:pt>
                <c:pt idx="79">
                  <c:v>223.70473628669234</c:v>
                </c:pt>
                <c:pt idx="80">
                  <c:v>226.80937317441189</c:v>
                </c:pt>
                <c:pt idx="81">
                  <c:v>229.92162890318286</c:v>
                </c:pt>
                <c:pt idx="82">
                  <c:v>233.04151306044562</c:v>
                </c:pt>
                <c:pt idx="83">
                  <c:v>236.16903460118792</c:v>
                </c:pt>
                <c:pt idx="84">
                  <c:v>239.30420186245627</c:v>
                </c:pt>
                <c:pt idx="85">
                  <c:v>242.44702257755631</c:v>
                </c:pt>
                <c:pt idx="86">
                  <c:v>245.59750388994877</c:v>
                </c:pt>
                <c:pt idx="87">
                  <c:v>248.75565236684747</c:v>
                </c:pt>
                <c:pt idx="88">
                  <c:v>251.92147401252566</c:v>
                </c:pt>
                <c:pt idx="89">
                  <c:v>255.09497428133702</c:v>
                </c:pt>
                <c:pt idx="90">
                  <c:v>258.27615809045716</c:v>
                </c:pt>
                <c:pt idx="91">
                  <c:v>261.465029832352</c:v>
                </c:pt>
                <c:pt idx="92">
                  <c:v>264.66159338697832</c:v>
                </c:pt>
                <c:pt idx="93">
                  <c:v>267.8658521337224</c:v>
                </c:pt>
                <c:pt idx="94">
                  <c:v>271.07780896308265</c:v>
                </c:pt>
                <c:pt idx="95">
                  <c:v>274.29746628810096</c:v>
                </c:pt>
                <c:pt idx="96">
                  <c:v>277.52482605554894</c:v>
                </c:pt>
                <c:pt idx="97">
                  <c:v>280.75988975687346</c:v>
                </c:pt>
                <c:pt idx="98">
                  <c:v>284.00265843890736</c:v>
                </c:pt>
                <c:pt idx="99">
                  <c:v>287.25313271434959</c:v>
                </c:pt>
                <c:pt idx="100">
                  <c:v>290.51131277202052</c:v>
                </c:pt>
                <c:pt idx="101">
                  <c:v>293.77719838689632</c:v>
                </c:pt>
                <c:pt idx="102">
                  <c:v>297.05078892992776</c:v>
                </c:pt>
                <c:pt idx="103">
                  <c:v>300.33208337764796</c:v>
                </c:pt>
                <c:pt idx="104">
                  <c:v>303.62108032157289</c:v>
                </c:pt>
                <c:pt idx="105">
                  <c:v>306.91777797740014</c:v>
                </c:pt>
                <c:pt idx="106">
                  <c:v>310.22217419400937</c:v>
                </c:pt>
                <c:pt idx="107">
                  <c:v>313.53426646226916</c:v>
                </c:pt>
                <c:pt idx="108">
                  <c:v>316.85405192365369</c:v>
                </c:pt>
                <c:pt idx="109">
                  <c:v>320.1815273786745</c:v>
                </c:pt>
                <c:pt idx="110">
                  <c:v>323.51668929513016</c:v>
                </c:pt>
                <c:pt idx="111">
                  <c:v>326.85953381617799</c:v>
                </c:pt>
                <c:pt idx="112">
                  <c:v>330.21005676823211</c:v>
                </c:pt>
                <c:pt idx="113">
                  <c:v>333.568253668691</c:v>
                </c:pt>
                <c:pt idx="114">
                  <c:v>336.93411973349816</c:v>
                </c:pt>
                <c:pt idx="115">
                  <c:v>340.30764988454001</c:v>
                </c:pt>
                <c:pt idx="116">
                  <c:v>343.68883875688374</c:v>
                </c:pt>
                <c:pt idx="117">
                  <c:v>347.07768070585922</c:v>
                </c:pt>
                <c:pt idx="118">
                  <c:v>350.47416981398754</c:v>
                </c:pt>
                <c:pt idx="119">
                  <c:v>353.87829989776031</c:v>
                </c:pt>
                <c:pt idx="120">
                  <c:v>357.29006451427216</c:v>
                </c:pt>
                <c:pt idx="121">
                  <c:v>360.70945696770974</c:v>
                </c:pt>
                <c:pt idx="122">
                  <c:v>364.13647031570088</c:v>
                </c:pt>
                <c:pt idx="123">
                  <c:v>367.57109737552582</c:v>
                </c:pt>
                <c:pt idx="124">
                  <c:v>371.01333073019441</c:v>
                </c:pt>
                <c:pt idx="125">
                  <c:v>374.46316273439157</c:v>
                </c:pt>
                <c:pt idx="126">
                  <c:v>377.92058552029397</c:v>
                </c:pt>
                <c:pt idx="127">
                  <c:v>381.38559100326097</c:v>
                </c:pt>
                <c:pt idx="128">
                  <c:v>384.85817088740174</c:v>
                </c:pt>
                <c:pt idx="129">
                  <c:v>388.33831667102208</c:v>
                </c:pt>
                <c:pt idx="130">
                  <c:v>391.82601965195306</c:v>
                </c:pt>
                <c:pt idx="131">
                  <c:v>395.32127093276375</c:v>
                </c:pt>
                <c:pt idx="132">
                  <c:v>398.8240614258612</c:v>
                </c:pt>
                <c:pt idx="133">
                  <c:v>402.33438185847928</c:v>
                </c:pt>
                <c:pt idx="134">
                  <c:v>405.8522227775594</c:v>
                </c:pt>
                <c:pt idx="135">
                  <c:v>409.37757455452515</c:v>
                </c:pt>
                <c:pt idx="136">
                  <c:v>412.91042738995293</c:v>
                </c:pt>
                <c:pt idx="137">
                  <c:v>416.45077131814111</c:v>
                </c:pt>
                <c:pt idx="138">
                  <c:v>419.9985962115797</c:v>
                </c:pt>
                <c:pt idx="139">
                  <c:v>423.55389178532283</c:v>
                </c:pt>
                <c:pt idx="140">
                  <c:v>427.11664760126581</c:v>
                </c:pt>
                <c:pt idx="141">
                  <c:v>430.68685307232909</c:v>
                </c:pt>
                <c:pt idx="142">
                  <c:v>434.26449746655078</c:v>
                </c:pt>
                <c:pt idx="143">
                  <c:v>437.84956991109021</c:v>
                </c:pt>
                <c:pt idx="144">
                  <c:v>441.44205939614397</c:v>
                </c:pt>
                <c:pt idx="145">
                  <c:v>445.04195477877613</c:v>
                </c:pt>
                <c:pt idx="146">
                  <c:v>448.64924478666541</c:v>
                </c:pt>
                <c:pt idx="147">
                  <c:v>452.26391802176965</c:v>
                </c:pt>
                <c:pt idx="148">
                  <c:v>455.88596296391091</c:v>
                </c:pt>
                <c:pt idx="149">
                  <c:v>459.51536797428139</c:v>
                </c:pt>
                <c:pt idx="150">
                  <c:v>463.15212129887311</c:v>
                </c:pt>
                <c:pt idx="151">
                  <c:v>466.79621107183215</c:v>
                </c:pt>
                <c:pt idx="152">
                  <c:v>470.44762531873937</c:v>
                </c:pt>
                <c:pt idx="153">
                  <c:v>474.10635195981939</c:v>
                </c:pt>
                <c:pt idx="154">
                  <c:v>477.77237881307872</c:v>
                </c:pt>
                <c:pt idx="155">
                  <c:v>481.44569359737528</c:v>
                </c:pt>
                <c:pt idx="156">
                  <c:v>485.1262839354203</c:v>
                </c:pt>
                <c:pt idx="157">
                  <c:v>488.81413735671441</c:v>
                </c:pt>
                <c:pt idx="158">
                  <c:v>492.50924130041875</c:v>
                </c:pt>
                <c:pt idx="159">
                  <c:v>496.21158311816299</c:v>
                </c:pt>
                <c:pt idx="160">
                  <c:v>499.92115007679172</c:v>
                </c:pt>
                <c:pt idx="161">
                  <c:v>503.63792936104988</c:v>
                </c:pt>
                <c:pt idx="162">
                  <c:v>507.36190807620909</c:v>
                </c:pt>
                <c:pt idx="163">
                  <c:v>511.09307325063594</c:v>
                </c:pt>
                <c:pt idx="164">
                  <c:v>514.83141183830367</c:v>
                </c:pt>
                <c:pt idx="165">
                  <c:v>518.57691072124783</c:v>
                </c:pt>
                <c:pt idx="166">
                  <c:v>522.32955671196817</c:v>
                </c:pt>
                <c:pt idx="167">
                  <c:v>526.08933655577675</c:v>
                </c:pt>
                <c:pt idx="168">
                  <c:v>529.85623693309458</c:v>
                </c:pt>
                <c:pt idx="169">
                  <c:v>533.63024446169663</c:v>
                </c:pt>
                <c:pt idx="170">
                  <c:v>537.41134569890733</c:v>
                </c:pt>
                <c:pt idx="171">
                  <c:v>541.19952714374722</c:v>
                </c:pt>
                <c:pt idx="172">
                  <c:v>544.99477523903181</c:v>
                </c:pt>
                <c:pt idx="173">
                  <c:v>548.79707637342392</c:v>
                </c:pt>
                <c:pt idx="174">
                  <c:v>552.60641688343969</c:v>
                </c:pt>
                <c:pt idx="175">
                  <c:v>556.42278305541015</c:v>
                </c:pt>
                <c:pt idx="176">
                  <c:v>560.24616112739955</c:v>
                </c:pt>
                <c:pt idx="177">
                  <c:v>564.07653729107926</c:v>
                </c:pt>
                <c:pt idx="178">
                  <c:v>567.91389769356169</c:v>
                </c:pt>
                <c:pt idx="179">
                  <c:v>571.75822843919161</c:v>
                </c:pt>
                <c:pt idx="180">
                  <c:v>575.60951559129785</c:v>
                </c:pt>
                <c:pt idx="181">
                  <c:v>579.46774517390577</c:v>
                </c:pt>
                <c:pt idx="182">
                  <c:v>583.33290317341084</c:v>
                </c:pt>
                <c:pt idx="183">
                  <c:v>587.2049755402154</c:v>
                </c:pt>
                <c:pt idx="184">
                  <c:v>591.08394819032719</c:v>
                </c:pt>
                <c:pt idx="185">
                  <c:v>594.96980700692336</c:v>
                </c:pt>
                <c:pt idx="186">
                  <c:v>598.86253784187772</c:v>
                </c:pt>
                <c:pt idx="187">
                  <c:v>602.76212651725461</c:v>
                </c:pt>
                <c:pt idx="188">
                  <c:v>606.6685588267685</c:v>
                </c:pt>
                <c:pt idx="189">
                  <c:v>610.58182053721021</c:v>
                </c:pt>
                <c:pt idx="190">
                  <c:v>614.50189738984125</c:v>
                </c:pt>
                <c:pt idx="191">
                  <c:v>618.42877510175617</c:v>
                </c:pt>
                <c:pt idx="192">
                  <c:v>622.36243936721439</c:v>
                </c:pt>
                <c:pt idx="193">
                  <c:v>626.30287585894064</c:v>
                </c:pt>
                <c:pt idx="194">
                  <c:v>630.25007022939701</c:v>
                </c:pt>
                <c:pt idx="195">
                  <c:v>634.20400811202512</c:v>
                </c:pt>
                <c:pt idx="196">
                  <c:v>638.16467512245981</c:v>
                </c:pt>
                <c:pt idx="197">
                  <c:v>642.1320568597157</c:v>
                </c:pt>
                <c:pt idx="198">
                  <c:v>646.10613890734589</c:v>
                </c:pt>
                <c:pt idx="199">
                  <c:v>650.08690683457428</c:v>
                </c:pt>
                <c:pt idx="200">
                  <c:v>654.0743461974015</c:v>
                </c:pt>
                <c:pt idx="201">
                  <c:v>658.06844253968598</c:v>
                </c:pt>
                <c:pt idx="202">
                  <c:v>662.0691813941994</c:v>
                </c:pt>
                <c:pt idx="203">
                  <c:v>666.07654828365833</c:v>
                </c:pt>
                <c:pt idx="204">
                  <c:v>670.09052872173095</c:v>
                </c:pt>
                <c:pt idx="205">
                  <c:v>674.11110821402178</c:v>
                </c:pt>
                <c:pt idx="206">
                  <c:v>678.13827225903231</c:v>
                </c:pt>
                <c:pt idx="207">
                  <c:v>682.1720063491</c:v>
                </c:pt>
                <c:pt idx="208">
                  <c:v>686.21229597131492</c:v>
                </c:pt>
                <c:pt idx="209">
                  <c:v>690.25912660841493</c:v>
                </c:pt>
                <c:pt idx="210">
                  <c:v>694.31248373966025</c:v>
                </c:pt>
                <c:pt idx="211">
                  <c:v>698.37235284168742</c:v>
                </c:pt>
                <c:pt idx="212">
                  <c:v>702.43871938934285</c:v>
                </c:pt>
                <c:pt idx="213">
                  <c:v>706.51156885649675</c:v>
                </c:pt>
                <c:pt idx="214">
                  <c:v>710.5908867168381</c:v>
                </c:pt>
                <c:pt idx="215">
                  <c:v>714.67665844465091</c:v>
                </c:pt>
                <c:pt idx="216">
                  <c:v>718.76886951557128</c:v>
                </c:pt>
                <c:pt idx="217">
                  <c:v>722.86750540732749</c:v>
                </c:pt>
                <c:pt idx="218">
                  <c:v>726.97255160046143</c:v>
                </c:pt>
                <c:pt idx="219">
                  <c:v>731.08399357903374</c:v>
                </c:pt>
                <c:pt idx="220">
                  <c:v>735.20181683131113</c:v>
                </c:pt>
                <c:pt idx="221">
                  <c:v>739.32600685043803</c:v>
                </c:pt>
                <c:pt idx="222">
                  <c:v>743.45654913509145</c:v>
                </c:pt>
                <c:pt idx="223">
                  <c:v>747.59342919012056</c:v>
                </c:pt>
                <c:pt idx="224">
                  <c:v>751.73663252716983</c:v>
                </c:pt>
                <c:pt idx="225">
                  <c:v>755.8861446652885</c:v>
                </c:pt>
                <c:pt idx="226">
                  <c:v>760.04195113152389</c:v>
                </c:pt>
                <c:pt idx="227">
                  <c:v>764.20403746150089</c:v>
                </c:pt>
                <c:pt idx="228">
                  <c:v>768.37238919998697</c:v>
                </c:pt>
                <c:pt idx="229">
                  <c:v>772.54699190144379</c:v>
                </c:pt>
                <c:pt idx="230">
                  <c:v>776.72783113056482</c:v>
                </c:pt>
                <c:pt idx="231">
                  <c:v>780.91489246279946</c:v>
                </c:pt>
                <c:pt idx="232">
                  <c:v>785.1081614848647</c:v>
                </c:pt>
                <c:pt idx="233">
                  <c:v>789.30762379524379</c:v>
                </c:pt>
                <c:pt idx="234">
                  <c:v>793.51326500467258</c:v>
                </c:pt>
                <c:pt idx="235">
                  <c:v>797.72507073661325</c:v>
                </c:pt>
                <c:pt idx="236">
                  <c:v>801.94302662771702</c:v>
                </c:pt>
                <c:pt idx="237">
                  <c:v>806.16711832827423</c:v>
                </c:pt>
                <c:pt idx="238">
                  <c:v>810.39733150265351</c:v>
                </c:pt>
                <c:pt idx="239">
                  <c:v>814.63365182973018</c:v>
                </c:pt>
                <c:pt idx="240">
                  <c:v>818.87606500330264</c:v>
                </c:pt>
                <c:pt idx="241">
                  <c:v>823.12455673249929</c:v>
                </c:pt>
                <c:pt idx="242">
                  <c:v>827.37911274217424</c:v>
                </c:pt>
                <c:pt idx="243">
                  <c:v>831.639718773293</c:v>
                </c:pt>
                <c:pt idx="244">
                  <c:v>835.90636058330824</c:v>
                </c:pt>
                <c:pt idx="245">
                  <c:v>840.17902394652583</c:v>
                </c:pt>
                <c:pt idx="246">
                  <c:v>844.45769465446097</c:v>
                </c:pt>
                <c:pt idx="247">
                  <c:v>848.7423585161855</c:v>
                </c:pt>
                <c:pt idx="248">
                  <c:v>853.03300135866562</c:v>
                </c:pt>
                <c:pt idx="249">
                  <c:v>857.32960902709056</c:v>
                </c:pt>
                <c:pt idx="250">
                  <c:v>861.63216738519327</c:v>
                </c:pt>
                <c:pt idx="251">
                  <c:v>865.94066231556144</c:v>
                </c:pt>
                <c:pt idx="252">
                  <c:v>870.25507971994102</c:v>
                </c:pt>
                <c:pt idx="253">
                  <c:v>874.57540551953116</c:v>
                </c:pt>
                <c:pt idx="254">
                  <c:v>878.90162565527089</c:v>
                </c:pt>
                <c:pt idx="255">
                  <c:v>883.2337260881186</c:v>
                </c:pt>
                <c:pt idx="256">
                  <c:v>887.57169279932316</c:v>
                </c:pt>
                <c:pt idx="257">
                  <c:v>891.91551179068824</c:v>
                </c:pt>
                <c:pt idx="258">
                  <c:v>896.26516908482847</c:v>
                </c:pt>
                <c:pt idx="259">
                  <c:v>900.62065072541884</c:v>
                </c:pt>
                <c:pt idx="260">
                  <c:v>904.98194277743767</c:v>
                </c:pt>
                <c:pt idx="261">
                  <c:v>909.34903132740124</c:v>
                </c:pt>
                <c:pt idx="262">
                  <c:v>913.72190248359311</c:v>
                </c:pt>
                <c:pt idx="263">
                  <c:v>918.10054237628617</c:v>
                </c:pt>
                <c:pt idx="264">
                  <c:v>922.48493715795837</c:v>
                </c:pt>
                <c:pt idx="265">
                  <c:v>926.87507300350205</c:v>
                </c:pt>
                <c:pt idx="266">
                  <c:v>931.27093611042756</c:v>
                </c:pt>
                <c:pt idx="267">
                  <c:v>935.67251269906035</c:v>
                </c:pt>
                <c:pt idx="268">
                  <c:v>940.07978901273225</c:v>
                </c:pt>
                <c:pt idx="269">
                  <c:v>944.4927513179673</c:v>
                </c:pt>
                <c:pt idx="270">
                  <c:v>948.91138590466164</c:v>
                </c:pt>
                <c:pt idx="271">
                  <c:v>953.33567908625832</c:v>
                </c:pt>
                <c:pt idx="272">
                  <c:v>957.76561719991571</c:v>
                </c:pt>
                <c:pt idx="273">
                  <c:v>962.20118660667242</c:v>
                </c:pt>
                <c:pt idx="274">
                  <c:v>966.6423736916048</c:v>
                </c:pt>
                <c:pt idx="275">
                  <c:v>971.08916486398164</c:v>
                </c:pt>
                <c:pt idx="276">
                  <c:v>975.54154655741218</c:v>
                </c:pt>
                <c:pt idx="277">
                  <c:v>979.99950522999029</c:v>
                </c:pt>
                <c:pt idx="278">
                  <c:v>984.46302736443386</c:v>
                </c:pt>
                <c:pt idx="279">
                  <c:v>988.93209946821901</c:v>
                </c:pt>
                <c:pt idx="280">
                  <c:v>993.40670807371055</c:v>
                </c:pt>
                <c:pt idx="281">
                  <c:v>997.88683973828734</c:v>
                </c:pt>
                <c:pt idx="282">
                  <c:v>1002.3724810444642</c:v>
                </c:pt>
                <c:pt idx="283">
                  <c:v>1006.8636186000082</c:v>
                </c:pt>
                <c:pt idx="284">
                  <c:v>1011.3602390380524</c:v>
                </c:pt>
                <c:pt idx="285">
                  <c:v>1015.862329017205</c:v>
                </c:pt>
                <c:pt idx="286">
                  <c:v>1020.3698752216538</c:v>
                </c:pt>
                <c:pt idx="287">
                  <c:v>1024.882864361268</c:v>
                </c:pt>
                <c:pt idx="288">
                  <c:v>1029.4012831716952</c:v>
                </c:pt>
                <c:pt idx="289">
                  <c:v>1033.9251184144557</c:v>
                </c:pt>
                <c:pt idx="290">
                  <c:v>1038.4543568770318</c:v>
                </c:pt>
                <c:pt idx="291">
                  <c:v>1042.988985372956</c:v>
                </c:pt>
                <c:pt idx="292">
                  <c:v>1047.528990741893</c:v>
                </c:pt>
                <c:pt idx="293">
                  <c:v>1052.0743598497199</c:v>
                </c:pt>
                <c:pt idx="294">
                  <c:v>1056.6250795886026</c:v>
                </c:pt>
                <c:pt idx="295">
                  <c:v>1061.18113687707</c:v>
                </c:pt>
                <c:pt idx="296">
                  <c:v>1065.7425186600831</c:v>
                </c:pt>
                <c:pt idx="297">
                  <c:v>1070.3092119091029</c:v>
                </c:pt>
                <c:pt idx="298">
                  <c:v>1074.8812036221548</c:v>
                </c:pt>
                <c:pt idx="299">
                  <c:v>1079.458480823889</c:v>
                </c:pt>
                <c:pt idx="300">
                  <c:v>1084.0410305656396</c:v>
                </c:pt>
                <c:pt idx="301">
                  <c:v>1088.6288399254797</c:v>
                </c:pt>
                <c:pt idx="302">
                  <c:v>1093.2218960082748</c:v>
                </c:pt>
                <c:pt idx="303">
                  <c:v>1097.8201859457326</c:v>
                </c:pt>
                <c:pt idx="304">
                  <c:v>1102.4236968964506</c:v>
                </c:pt>
                <c:pt idx="305">
                  <c:v>1107.0324160459604</c:v>
                </c:pt>
                <c:pt idx="306">
                  <c:v>1111.6463306067717</c:v>
                </c:pt>
                <c:pt idx="307">
                  <c:v>1116.2654278184114</c:v>
                </c:pt>
                <c:pt idx="308">
                  <c:v>1120.8896949474611</c:v>
                </c:pt>
                <c:pt idx="309">
                  <c:v>1125.519119287593</c:v>
                </c:pt>
                <c:pt idx="310">
                  <c:v>1130.1536881596026</c:v>
                </c:pt>
                <c:pt idx="311">
                  <c:v>1134.7933889114397</c:v>
                </c:pt>
                <c:pt idx="312">
                  <c:v>1139.4382089182375</c:v>
                </c:pt>
                <c:pt idx="313">
                  <c:v>1144.0881355823378</c:v>
                </c:pt>
                <c:pt idx="314">
                  <c:v>1148.7431563333171</c:v>
                </c:pt>
                <c:pt idx="315">
                  <c:v>1153.4032586280077</c:v>
                </c:pt>
                <c:pt idx="316">
                  <c:v>1158.0684299505192</c:v>
                </c:pt>
                <c:pt idx="317">
                  <c:v>1162.7386578122564</c:v>
                </c:pt>
                <c:pt idx="318">
                  <c:v>1167.4139297519362</c:v>
                </c:pt>
                <c:pt idx="319">
                  <c:v>1172.0942333356024</c:v>
                </c:pt>
                <c:pt idx="320">
                  <c:v>1176.7795561566384</c:v>
                </c:pt>
                <c:pt idx="321">
                  <c:v>1181.469885835779</c:v>
                </c:pt>
                <c:pt idx="322">
                  <c:v>1186.165210021119</c:v>
                </c:pt>
                <c:pt idx="323">
                  <c:v>1190.8655163881222</c:v>
                </c:pt>
                <c:pt idx="324">
                  <c:v>1195.5707926396267</c:v>
                </c:pt>
                <c:pt idx="325">
                  <c:v>1200.2810265058497</c:v>
                </c:pt>
                <c:pt idx="326">
                  <c:v>1204.9962057443911</c:v>
                </c:pt>
                <c:pt idx="327">
                  <c:v>1209.7163181402339</c:v>
                </c:pt>
                <c:pt idx="328">
                  <c:v>1214.4413515057454</c:v>
                </c:pt>
                <c:pt idx="329">
                  <c:v>1219.1712936806748</c:v>
                </c:pt>
                <c:pt idx="330">
                  <c:v>1223.9061325321509</c:v>
                </c:pt>
                <c:pt idx="331">
                  <c:v>1228.6458559546775</c:v>
                </c:pt>
                <c:pt idx="332">
                  <c:v>1233.3904518701283</c:v>
                </c:pt>
                <c:pt idx="333">
                  <c:v>1238.1399082277396</c:v>
                </c:pt>
                <c:pt idx="334">
                  <c:v>1242.8942130041021</c:v>
                </c:pt>
                <c:pt idx="335">
                  <c:v>1247.6533542031514</c:v>
                </c:pt>
                <c:pt idx="336">
                  <c:v>1252.4173198561573</c:v>
                </c:pt>
                <c:pt idx="337">
                  <c:v>1257.1860980217125</c:v>
                </c:pt>
                <c:pt idx="338">
                  <c:v>1261.9596767857183</c:v>
                </c:pt>
                <c:pt idx="339">
                  <c:v>1266.7380442613717</c:v>
                </c:pt>
                <c:pt idx="340">
                  <c:v>1271.521188589149</c:v>
                </c:pt>
                <c:pt idx="341">
                  <c:v>1276.3090979367903</c:v>
                </c:pt>
                <c:pt idx="342">
                  <c:v>1281.1017604992812</c:v>
                </c:pt>
                <c:pt idx="343">
                  <c:v>1285.899164498835</c:v>
                </c:pt>
                <c:pt idx="344">
                  <c:v>1290.7012981848729</c:v>
                </c:pt>
                <c:pt idx="345">
                  <c:v>1295.5081498340035</c:v>
                </c:pt>
                <c:pt idx="346">
                  <c:v>1300.319707750001</c:v>
                </c:pt>
                <c:pt idx="347">
                  <c:v>1305.1359602637838</c:v>
                </c:pt>
                <c:pt idx="348">
                  <c:v>1309.95689573339</c:v>
                </c:pt>
                <c:pt idx="349">
                  <c:v>1314.7825025439538</c:v>
                </c:pt>
                <c:pt idx="350">
                  <c:v>1319.6127691076811</c:v>
                </c:pt>
                <c:pt idx="351">
                  <c:v>1324.4476838638222</c:v>
                </c:pt>
                <c:pt idx="352">
                  <c:v>1329.287235278646</c:v>
                </c:pt>
                <c:pt idx="353">
                  <c:v>1334.1314118454127</c:v>
                </c:pt>
                <c:pt idx="354">
                  <c:v>1338.9802020843445</c:v>
                </c:pt>
                <c:pt idx="355">
                  <c:v>1343.8335945425972</c:v>
                </c:pt>
                <c:pt idx="356">
                  <c:v>1348.6915777942309</c:v>
                </c:pt>
                <c:pt idx="357">
                  <c:v>1353.5541404401781</c:v>
                </c:pt>
                <c:pt idx="358">
                  <c:v>1358.4212711082137</c:v>
                </c:pt>
                <c:pt idx="359">
                  <c:v>1363.2929584529227</c:v>
                </c:pt>
                <c:pt idx="360">
                  <c:v>1368.1691911556672</c:v>
                </c:pt>
                <c:pt idx="361">
                  <c:v>1373.0499579245536</c:v>
                </c:pt>
                <c:pt idx="362">
                  <c:v>1377.9352474943987</c:v>
                </c:pt>
                <c:pt idx="363">
                  <c:v>1382.8250486266954</c:v>
                </c:pt>
                <c:pt idx="364">
                  <c:v>1387.7193501095769</c:v>
                </c:pt>
                <c:pt idx="365">
                  <c:v>1392.6181407577817</c:v>
                </c:pt>
                <c:pt idx="366">
                  <c:v>1397.521409412617</c:v>
                </c:pt>
                <c:pt idx="367">
                  <c:v>1402.4291449419222</c:v>
                </c:pt>
                <c:pt idx="368">
                  <c:v>1407.3413362400313</c:v>
                </c:pt>
                <c:pt idx="369">
                  <c:v>1412.2579722277353</c:v>
                </c:pt>
                <c:pt idx="370">
                  <c:v>1417.1790418522437</c:v>
                </c:pt>
                <c:pt idx="371">
                  <c:v>1422.1045340871453</c:v>
                </c:pt>
                <c:pt idx="372">
                  <c:v>1427.0344379323697</c:v>
                </c:pt>
                <c:pt idx="373">
                  <c:v>1431.9687424141464</c:v>
                </c:pt>
                <c:pt idx="374">
                  <c:v>1436.907436584966</c:v>
                </c:pt>
                <c:pt idx="375">
                  <c:v>1441.850509523538</c:v>
                </c:pt>
                <c:pt idx="376">
                  <c:v>1446.7979503347501</c:v>
                </c:pt>
                <c:pt idx="377">
                  <c:v>1451.7497481496275</c:v>
                </c:pt>
                <c:pt idx="378">
                  <c:v>1456.7058921252901</c:v>
                </c:pt>
                <c:pt idx="379">
                  <c:v>1461.6663714449101</c:v>
                </c:pt>
                <c:pt idx="380">
                  <c:v>1466.6311753176699</c:v>
                </c:pt>
                <c:pt idx="381">
                  <c:v>1471.6002929787189</c:v>
                </c:pt>
                <c:pt idx="382">
                  <c:v>1476.5737136891291</c:v>
                </c:pt>
                <c:pt idx="383">
                  <c:v>1481.5514267358526</c:v>
                </c:pt>
                <c:pt idx="384">
                  <c:v>1486.5334214316767</c:v>
                </c:pt>
                <c:pt idx="385">
                  <c:v>1491.5196871151797</c:v>
                </c:pt>
                <c:pt idx="386">
                  <c:v>1496.5102131506858</c:v>
                </c:pt>
                <c:pt idx="387">
                  <c:v>1501.5049889282207</c:v>
                </c:pt>
                <c:pt idx="388">
                  <c:v>1506.5040038634654</c:v>
                </c:pt>
                <c:pt idx="389">
                  <c:v>1511.5072473977114</c:v>
                </c:pt>
                <c:pt idx="390">
                  <c:v>1516.5147089978136</c:v>
                </c:pt>
                <c:pt idx="391">
                  <c:v>1521.5263781561457</c:v>
                </c:pt>
                <c:pt idx="392">
                  <c:v>1526.5422443905518</c:v>
                </c:pt>
                <c:pt idx="393">
                  <c:v>1531.5622972443011</c:v>
                </c:pt>
                <c:pt idx="394">
                  <c:v>1536.5865262860407</c:v>
                </c:pt>
                <c:pt idx="395">
                  <c:v>1541.6149211097477</c:v>
                </c:pt>
                <c:pt idx="396">
                  <c:v>1546.6474713346827</c:v>
                </c:pt>
                <c:pt idx="397">
                  <c:v>1551.6841666053415</c:v>
                </c:pt>
                <c:pt idx="398">
                  <c:v>1556.7249965914077</c:v>
                </c:pt>
                <c:pt idx="399">
                  <c:v>1561.7699509877039</c:v>
                </c:pt>
                <c:pt idx="400">
                  <c:v>1566.8190195141442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DSM!$P$1</c:f>
              <c:strCache>
                <c:ptCount val="1"/>
                <c:pt idx="0">
                  <c:v>Birth All,  people</c:v>
                </c:pt>
              </c:strCache>
            </c:strRef>
          </c:tx>
          <c:marker>
            <c:symbol val="none"/>
          </c:marker>
          <c:cat>
            <c:numRef>
              <c:f>DSM!$F$2:$F$402</c:f>
              <c:numCache>
                <c:formatCode>0.00</c:formatCode>
                <c:ptCount val="401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</c:numCache>
            </c:numRef>
          </c:cat>
          <c:val>
            <c:numRef>
              <c:f>DSM!$P$2:$P$402</c:f>
              <c:numCache>
                <c:formatCode>0.00</c:formatCode>
                <c:ptCount val="401"/>
                <c:pt idx="0" formatCode="#,##0.00">
                  <c:v>0</c:v>
                </c:pt>
                <c:pt idx="1">
                  <c:v>8.75</c:v>
                </c:pt>
                <c:pt idx="2">
                  <c:v>17.456250000000001</c:v>
                </c:pt>
                <c:pt idx="3">
                  <c:v>26.119679687500003</c:v>
                </c:pt>
                <c:pt idx="4">
                  <c:v>34.741198994140632</c:v>
                </c:pt>
                <c:pt idx="5">
                  <c:v>43.321698515515145</c:v>
                </c:pt>
                <c:pt idx="6">
                  <c:v>51.86204992206045</c:v>
                </c:pt>
                <c:pt idx="7">
                  <c:v>60.363106361216666</c:v>
                </c:pt>
                <c:pt idx="8">
                  <c:v>68.825702851040816</c:v>
                </c:pt>
                <c:pt idx="9">
                  <c:v>77.250656665456205</c:v>
                </c:pt>
                <c:pt idx="10">
                  <c:v>85.638767711315268</c:v>
                </c:pt>
                <c:pt idx="11">
                  <c:v>93.990818897449813</c:v>
                </c:pt>
                <c:pt idx="12">
                  <c:v>102.307576495879</c:v>
                </c:pt>
                <c:pt idx="13">
                  <c:v>110.58979049534157</c:v>
                </c:pt>
                <c:pt idx="14">
                  <c:v>118.83819494731557</c:v>
                </c:pt>
                <c:pt idx="15">
                  <c:v>127.05350830468512</c:v>
                </c:pt>
                <c:pt idx="16">
                  <c:v>135.23643375321058</c:v>
                </c:pt>
                <c:pt idx="17">
                  <c:v>143.38765953595487</c:v>
                </c:pt>
                <c:pt idx="18">
                  <c:v>151.50785927081583</c:v>
                </c:pt>
                <c:pt idx="19">
                  <c:v>159.59769226131098</c:v>
                </c:pt>
                <c:pt idx="20">
                  <c:v>167.65780380075813</c:v>
                </c:pt>
                <c:pt idx="21">
                  <c:v>175.68882546999203</c:v>
                </c:pt>
                <c:pt idx="22">
                  <c:v>183.6913754287547</c:v>
                </c:pt>
                <c:pt idx="23">
                  <c:v>191.66605870089367</c:v>
                </c:pt>
                <c:pt idx="24">
                  <c:v>199.61346745349968</c:v>
                </c:pt>
                <c:pt idx="25">
                  <c:v>207.53418127011281</c:v>
                </c:pt>
                <c:pt idx="26">
                  <c:v>215.4287674181229</c:v>
                </c:pt>
                <c:pt idx="27">
                  <c:v>223.29778111048779</c:v>
                </c:pt>
                <c:pt idx="28">
                  <c:v>231.14176576188993</c:v>
                </c:pt>
                <c:pt idx="29">
                  <c:v>238.96125323944977</c:v>
                </c:pt>
                <c:pt idx="30">
                  <c:v>246.75676410811147</c:v>
                </c:pt>
                <c:pt idx="31">
                  <c:v>254.52880787081409</c:v>
                </c:pt>
                <c:pt idx="32">
                  <c:v>262.27788320355927</c:v>
                </c:pt>
                <c:pt idx="33">
                  <c:v>270.00447818548366</c:v>
                </c:pt>
                <c:pt idx="34">
                  <c:v>277.70907052404215</c:v>
                </c:pt>
                <c:pt idx="35">
                  <c:v>285.39212777540627</c:v>
                </c:pt>
                <c:pt idx="36">
                  <c:v>293.05410756017886</c:v>
                </c:pt>
                <c:pt idx="37">
                  <c:v>300.69545777452504</c:v>
                </c:pt>
                <c:pt idx="38">
                  <c:v>308.31661679681639</c:v>
                </c:pt>
                <c:pt idx="39">
                  <c:v>315.91801368988405</c:v>
                </c:pt>
                <c:pt idx="40">
                  <c:v>323.50006839897401</c:v>
                </c:pt>
                <c:pt idx="41">
                  <c:v>331.06319194549582</c:v>
                </c:pt>
                <c:pt idx="42">
                  <c:v>338.60778661665404</c:v>
                </c:pt>
                <c:pt idx="43">
                  <c:v>346.13424615105015</c:v>
                </c:pt>
                <c:pt idx="44">
                  <c:v>353.64295592034034</c:v>
                </c:pt>
                <c:pt idx="45">
                  <c:v>361.1342931070331</c:v>
                </c:pt>
                <c:pt idx="46">
                  <c:v>368.60862687850863</c:v>
                </c:pt>
                <c:pt idx="47">
                  <c:v>376.06631855734031</c:v>
                </c:pt>
                <c:pt idx="48">
                  <c:v>383.50772178799684</c:v>
                </c:pt>
                <c:pt idx="49">
                  <c:v>390.93318270000191</c:v>
                </c:pt>
                <c:pt idx="50">
                  <c:v>398.34304006762687</c:v>
                </c:pt>
                <c:pt idx="51">
                  <c:v>405.7376254661898</c:v>
                </c:pt>
                <c:pt idx="52">
                  <c:v>413.11726342503329</c:v>
                </c:pt>
                <c:pt idx="53">
                  <c:v>420.48227157725131</c:v>
                </c:pt>
                <c:pt idx="54">
                  <c:v>427.83296080623472</c:v>
                </c:pt>
                <c:pt idx="55">
                  <c:v>435.16963538910221</c:v>
                </c:pt>
                <c:pt idx="56">
                  <c:v>442.49259313708382</c:v>
                </c:pt>
                <c:pt idx="57">
                  <c:v>449.8021255329208</c:v>
                </c:pt>
                <c:pt idx="58">
                  <c:v>457.09851786534625</c:v>
                </c:pt>
                <c:pt idx="59">
                  <c:v>464.38204936070764</c:v>
                </c:pt>
                <c:pt idx="60">
                  <c:v>471.65299331179261</c:v>
                </c:pt>
                <c:pt idx="61">
                  <c:v>478.91161720391705</c:v>
                </c:pt>
                <c:pt idx="62">
                  <c:v>486.1581828383338</c:v>
                </c:pt>
                <c:pt idx="63">
                  <c:v>493.39294645301919</c:v>
                </c:pt>
                <c:pt idx="64">
                  <c:v>500.61615884089252</c:v>
                </c:pt>
                <c:pt idx="65">
                  <c:v>507.82806546552354</c:v>
                </c:pt>
                <c:pt idx="66">
                  <c:v>515.02890657438115</c:v>
                </c:pt>
                <c:pt idx="67">
                  <c:v>522.21891730967559</c:v>
                </c:pt>
                <c:pt idx="68">
                  <c:v>529.39832781684504</c:v>
                </c:pt>
                <c:pt idx="69">
                  <c:v>536.56736335073708</c:v>
                </c:pt>
                <c:pt idx="70">
                  <c:v>543.72624437953391</c:v>
                </c:pt>
                <c:pt idx="71">
                  <c:v>550.87518668646885</c:v>
                </c:pt>
                <c:pt idx="72">
                  <c:v>558.01440146938137</c:v>
                </c:pt>
                <c:pt idx="73">
                  <c:v>565.14409543815702</c:v>
                </c:pt>
                <c:pt idx="74">
                  <c:v>572.26447091009618</c:v>
                </c:pt>
                <c:pt idx="75">
                  <c:v>579.37572590325669</c:v>
                </c:pt>
                <c:pt idx="76">
                  <c:v>586.47805422781244</c:v>
                </c:pt>
                <c:pt idx="77">
                  <c:v>593.57164557547139</c:v>
                </c:pt>
                <c:pt idx="78">
                  <c:v>600.6566856069926</c:v>
                </c:pt>
                <c:pt idx="79">
                  <c:v>607.73335603784403</c:v>
                </c:pt>
                <c:pt idx="80">
                  <c:v>614.80183472203987</c:v>
                </c:pt>
                <c:pt idx="81">
                  <c:v>621.86229573419655</c:v>
                </c:pt>
                <c:pt idx="82">
                  <c:v>628.91490944984491</c:v>
                </c:pt>
                <c:pt idx="83">
                  <c:v>635.95984262403567</c:v>
                </c:pt>
                <c:pt idx="84">
                  <c:v>642.99725846827494</c:v>
                </c:pt>
                <c:pt idx="85">
                  <c:v>650.02731672582411</c:v>
                </c:pt>
                <c:pt idx="86">
                  <c:v>657.05017374540034</c:v>
                </c:pt>
                <c:pt idx="87">
                  <c:v>664.06598255331062</c:v>
                </c:pt>
                <c:pt idx="88">
                  <c:v>671.07489292405273</c:v>
                </c:pt>
                <c:pt idx="89">
                  <c:v>678.07705144941667</c:v>
                </c:pt>
                <c:pt idx="90">
                  <c:v>685.07260160611656</c:v>
                </c:pt>
                <c:pt idx="91">
                  <c:v>692.06168382198655</c:v>
                </c:pt>
                <c:pt idx="92">
                  <c:v>699.04443554076931</c:v>
                </c:pt>
                <c:pt idx="93">
                  <c:v>706.020991285528</c:v>
                </c:pt>
                <c:pt idx="94">
                  <c:v>712.99148272071056</c:v>
                </c:pt>
                <c:pt idx="95">
                  <c:v>719.95603871289552</c:v>
                </c:pt>
                <c:pt idx="96">
                  <c:v>726.91478539024649</c:v>
                </c:pt>
                <c:pt idx="97">
                  <c:v>733.86784620070375</c:v>
                </c:pt>
                <c:pt idx="98">
                  <c:v>740.81534196893881</c:v>
                </c:pt>
                <c:pt idx="99">
                  <c:v>747.75739095209883</c:v>
                </c:pt>
                <c:pt idx="100">
                  <c:v>754.69410889436676</c:v>
                </c:pt>
                <c:pt idx="101">
                  <c:v>761.62560908036153</c:v>
                </c:pt>
                <c:pt idx="102">
                  <c:v>768.55200238740383</c:v>
                </c:pt>
                <c:pt idx="103">
                  <c:v>775.4733973366715</c:v>
                </c:pt>
                <c:pt idx="104">
                  <c:v>782.38990014326725</c:v>
                </c:pt>
                <c:pt idx="105">
                  <c:v>789.30161476522278</c:v>
                </c:pt>
                <c:pt idx="106">
                  <c:v>796.2086429514618</c:v>
                </c:pt>
                <c:pt idx="107">
                  <c:v>803.1110842887432</c:v>
                </c:pt>
                <c:pt idx="108">
                  <c:v>810.00903624760747</c:v>
                </c:pt>
                <c:pt idx="109">
                  <c:v>816.90259422734584</c:v>
                </c:pt>
                <c:pt idx="110">
                  <c:v>823.79185160001475</c:v>
                </c:pt>
                <c:pt idx="111">
                  <c:v>830.67689975351448</c:v>
                </c:pt>
                <c:pt idx="112">
                  <c:v>837.55782813375231</c:v>
                </c:pt>
                <c:pt idx="113">
                  <c:v>844.43472428591008</c:v>
                </c:pt>
                <c:pt idx="114">
                  <c:v>851.30767389483447</c:v>
                </c:pt>
                <c:pt idx="115">
                  <c:v>858.17676082456921</c:v>
                </c:pt>
                <c:pt idx="116">
                  <c:v>865.04206715704709</c:v>
                </c:pt>
                <c:pt idx="117">
                  <c:v>871.90367322995985</c:v>
                </c:pt>
                <c:pt idx="118">
                  <c:v>878.76165767382327</c:v>
                </c:pt>
                <c:pt idx="119">
                  <c:v>885.61609744825455</c:v>
                </c:pt>
                <c:pt idx="120">
                  <c:v>892.46706787747917</c:v>
                </c:pt>
                <c:pt idx="121">
                  <c:v>899.31464268508273</c:v>
                </c:pt>
                <c:pt idx="122">
                  <c:v>906.15889402802475</c:v>
                </c:pt>
                <c:pt idx="123">
                  <c:v>912.99989252992918</c:v>
                </c:pt>
                <c:pt idx="124">
                  <c:v>919.83770731366815</c:v>
                </c:pt>
                <c:pt idx="125">
                  <c:v>926.67240603325274</c:v>
                </c:pt>
                <c:pt idx="126">
                  <c:v>933.50405490504613</c:v>
                </c:pt>
                <c:pt idx="127">
                  <c:v>940.33271873831393</c:v>
                </c:pt>
                <c:pt idx="128">
                  <c:v>947.15846096512473</c:v>
                </c:pt>
                <c:pt idx="129">
                  <c:v>953.98134366961585</c:v>
                </c:pt>
                <c:pt idx="130">
                  <c:v>960.80142761663649</c:v>
                </c:pt>
                <c:pt idx="131">
                  <c:v>967.618772279783</c:v>
                </c:pt>
                <c:pt idx="132">
                  <c:v>974.43343586883759</c:v>
                </c:pt>
                <c:pt idx="133">
                  <c:v>981.24547535662475</c:v>
                </c:pt>
                <c:pt idx="134">
                  <c:v>988.05494650529647</c:v>
                </c:pt>
                <c:pt idx="135">
                  <c:v>994.86190389205888</c:v>
                </c:pt>
                <c:pt idx="136">
                  <c:v>1001.6664009343526</c:v>
                </c:pt>
                <c:pt idx="137">
                  <c:v>1008.4684899144976</c:v>
                </c:pt>
                <c:pt idx="138">
                  <c:v>1015.2682220038145</c:v>
                </c:pt>
                <c:pt idx="139">
                  <c:v>1022.0656472862335</c:v>
                </c:pt>
                <c:pt idx="140">
                  <c:v>1028.8608147814009</c:v>
                </c:pt>
                <c:pt idx="141">
                  <c:v>1035.6537724672962</c:v>
                </c:pt>
                <c:pt idx="142">
                  <c:v>1042.4445673023661</c:v>
                </c:pt>
                <c:pt idx="143">
                  <c:v>1049.2332452471908</c:v>
                </c:pt>
                <c:pt idx="144">
                  <c:v>1056.019851285688</c:v>
                </c:pt>
                <c:pt idx="145">
                  <c:v>1062.8044294458671</c:v>
                </c:pt>
                <c:pt idx="146">
                  <c:v>1069.5870228201425</c:v>
                </c:pt>
                <c:pt idx="147">
                  <c:v>1076.3676735852143</c:v>
                </c:pt>
                <c:pt idx="148">
                  <c:v>1083.1464230215286</c:v>
                </c:pt>
                <c:pt idx="149">
                  <c:v>1089.9233115323211</c:v>
                </c:pt>
                <c:pt idx="150">
                  <c:v>1096.6983786622593</c:v>
                </c:pt>
                <c:pt idx="151">
                  <c:v>1103.4716631156864</c:v>
                </c:pt>
                <c:pt idx="152">
                  <c:v>1110.243202774478</c:v>
                </c:pt>
                <c:pt idx="153">
                  <c:v>1117.0130347155205</c:v>
                </c:pt>
                <c:pt idx="154">
                  <c:v>1123.7811952278157</c:v>
                </c:pt>
                <c:pt idx="155">
                  <c:v>1130.5477198292247</c:v>
                </c:pt>
                <c:pt idx="156">
                  <c:v>1137.3126432828537</c:v>
                </c:pt>
                <c:pt idx="157">
                  <c:v>1144.075999613093</c:v>
                </c:pt>
                <c:pt idx="158">
                  <c:v>1150.8378221213147</c:v>
                </c:pt>
                <c:pt idx="159">
                  <c:v>1157.5981434012367</c:v>
                </c:pt>
                <c:pt idx="160">
                  <c:v>1164.3569953539604</c:v>
                </c:pt>
                <c:pt idx="161">
                  <c:v>1171.1144092026889</c:v>
                </c:pt>
                <c:pt idx="162">
                  <c:v>1177.8704155071318</c:v>
                </c:pt>
                <c:pt idx="163">
                  <c:v>1184.6250441776053</c:v>
                </c:pt>
                <c:pt idx="164">
                  <c:v>1191.3783244888311</c:v>
                </c:pt>
                <c:pt idx="165">
                  <c:v>1198.1302850934435</c:v>
                </c:pt>
                <c:pt idx="166">
                  <c:v>1204.8809540352079</c:v>
                </c:pt>
                <c:pt idx="167">
                  <c:v>1211.6303587619598</c:v>
                </c:pt>
                <c:pt idx="168">
                  <c:v>1218.3785261382682</c:v>
                </c:pt>
                <c:pt idx="169">
                  <c:v>1225.12548245783</c:v>
                </c:pt>
                <c:pt idx="170">
                  <c:v>1231.8712534556012</c:v>
                </c:pt>
                <c:pt idx="171">
                  <c:v>1238.6158643196698</c:v>
                </c:pt>
                <c:pt idx="172">
                  <c:v>1245.3593397028767</c:v>
                </c:pt>
                <c:pt idx="173">
                  <c:v>1252.1017037341906</c:v>
                </c:pt>
                <c:pt idx="174">
                  <c:v>1258.8429800298391</c:v>
                </c:pt>
                <c:pt idx="175">
                  <c:v>1265.5831917042051</c:v>
                </c:pt>
                <c:pt idx="176">
                  <c:v>1272.3223613804907</c:v>
                </c:pt>
                <c:pt idx="177">
                  <c:v>1279.0605112011554</c:v>
                </c:pt>
                <c:pt idx="178">
                  <c:v>1285.7976628381309</c:v>
                </c:pt>
                <c:pt idx="179">
                  <c:v>1292.5338375028207</c:v>
                </c:pt>
                <c:pt idx="180">
                  <c:v>1299.2690559558857</c:v>
                </c:pt>
                <c:pt idx="181">
                  <c:v>1306.0033385168231</c:v>
                </c:pt>
                <c:pt idx="182">
                  <c:v>1312.7367050733405</c:v>
                </c:pt>
                <c:pt idx="183">
                  <c:v>1319.469175090532</c:v>
                </c:pt>
                <c:pt idx="184">
                  <c:v>1326.2007676198582</c:v>
                </c:pt>
                <c:pt idx="185">
                  <c:v>1332.9315013079363</c:v>
                </c:pt>
                <c:pt idx="186">
                  <c:v>1339.6613944051426</c:v>
                </c:pt>
                <c:pt idx="187">
                  <c:v>1346.3904647740333</c:v>
                </c:pt>
                <c:pt idx="188">
                  <c:v>1353.1187298975851</c:v>
                </c:pt>
                <c:pt idx="189">
                  <c:v>1359.8462068872614</c:v>
                </c:pt>
                <c:pt idx="190">
                  <c:v>1366.5729124909071</c:v>
                </c:pt>
                <c:pt idx="191">
                  <c:v>1373.2988631004753</c:v>
                </c:pt>
                <c:pt idx="192">
                  <c:v>1380.0240747595901</c:v>
                </c:pt>
                <c:pt idx="193">
                  <c:v>1386.7485631709487</c:v>
                </c:pt>
                <c:pt idx="194">
                  <c:v>1393.4723437035661</c:v>
                </c:pt>
                <c:pt idx="195">
                  <c:v>1400.1954313998654</c:v>
                </c:pt>
                <c:pt idx="196">
                  <c:v>1406.9178409826181</c:v>
                </c:pt>
                <c:pt idx="197">
                  <c:v>1413.6395868617376</c:v>
                </c:pt>
                <c:pt idx="198">
                  <c:v>1420.3606831409256</c:v>
                </c:pt>
                <c:pt idx="199">
                  <c:v>1427.0811436241809</c:v>
                </c:pt>
                <c:pt idx="200">
                  <c:v>1433.8009818221669</c:v>
                </c:pt>
                <c:pt idx="201">
                  <c:v>1440.5202109584459</c:v>
                </c:pt>
                <c:pt idx="202">
                  <c:v>1447.2388439755789</c:v>
                </c:pt>
                <c:pt idx="203">
                  <c:v>1453.9568935410978</c:v>
                </c:pt>
                <c:pt idx="204">
                  <c:v>1460.6743720533495</c:v>
                </c:pt>
                <c:pt idx="205">
                  <c:v>1467.3912916472159</c:v>
                </c:pt>
                <c:pt idx="206">
                  <c:v>1474.1076641997126</c:v>
                </c:pt>
                <c:pt idx="207">
                  <c:v>1480.8235013354688</c:v>
                </c:pt>
                <c:pt idx="208">
                  <c:v>1487.53881443209</c:v>
                </c:pt>
                <c:pt idx="209">
                  <c:v>1494.2536146254081</c:v>
                </c:pt>
                <c:pt idx="210">
                  <c:v>1500.9679128146181</c:v>
                </c:pt>
                <c:pt idx="211">
                  <c:v>1507.6817196673076</c:v>
                </c:pt>
                <c:pt idx="212">
                  <c:v>1514.3950456243772</c:v>
                </c:pt>
                <c:pt idx="213">
                  <c:v>1521.1079009048592</c:v>
                </c:pt>
                <c:pt idx="214">
                  <c:v>1527.820295510631</c:v>
                </c:pt>
                <c:pt idx="215">
                  <c:v>1534.5322392310302</c:v>
                </c:pt>
                <c:pt idx="216">
                  <c:v>1541.2437416473708</c:v>
                </c:pt>
                <c:pt idx="217">
                  <c:v>1547.9548121373641</c:v>
                </c:pt>
                <c:pt idx="218">
                  <c:v>1554.6654598794451</c:v>
                </c:pt>
                <c:pt idx="219">
                  <c:v>1561.3756938570068</c:v>
                </c:pt>
                <c:pt idx="220">
                  <c:v>1568.0855228625453</c:v>
                </c:pt>
                <c:pt idx="221">
                  <c:v>1574.7949555017162</c:v>
                </c:pt>
                <c:pt idx="222">
                  <c:v>1581.5040001973048</c:v>
                </c:pt>
                <c:pt idx="223">
                  <c:v>1588.2126651931121</c:v>
                </c:pt>
                <c:pt idx="224">
                  <c:v>1594.9209585577585</c:v>
                </c:pt>
                <c:pt idx="225">
                  <c:v>1601.6288881884061</c:v>
                </c:pt>
                <c:pt idx="226">
                  <c:v>1608.3364618144026</c:v>
                </c:pt>
                <c:pt idx="227">
                  <c:v>1615.0436870008466</c:v>
                </c:pt>
                <c:pt idx="228">
                  <c:v>1621.7505711520787</c:v>
                </c:pt>
                <c:pt idx="229">
                  <c:v>1628.457121515097</c:v>
                </c:pt>
                <c:pt idx="230">
                  <c:v>1635.1633451829011</c:v>
                </c:pt>
                <c:pt idx="231">
                  <c:v>1641.8692490977644</c:v>
                </c:pt>
                <c:pt idx="232">
                  <c:v>1648.5748400544369</c:v>
                </c:pt>
                <c:pt idx="233">
                  <c:v>1655.2801247032801</c:v>
                </c:pt>
                <c:pt idx="234">
                  <c:v>1661.9851095533354</c:v>
                </c:pt>
                <c:pt idx="235">
                  <c:v>1668.689800975327</c:v>
                </c:pt>
                <c:pt idx="236">
                  <c:v>1675.3942052046013</c:v>
                </c:pt>
                <c:pt idx="237">
                  <c:v>1682.0983283440037</c:v>
                </c:pt>
                <c:pt idx="238">
                  <c:v>1688.8021763666936</c:v>
                </c:pt>
                <c:pt idx="239">
                  <c:v>1695.5057551189013</c:v>
                </c:pt>
                <c:pt idx="240">
                  <c:v>1702.2090703226247</c:v>
                </c:pt>
                <c:pt idx="241">
                  <c:v>1708.9121275782688</c:v>
                </c:pt>
                <c:pt idx="242">
                  <c:v>1715.6149323672307</c:v>
                </c:pt>
                <c:pt idx="243">
                  <c:v>1722.317490054427</c:v>
                </c:pt>
                <c:pt idx="244">
                  <c:v>1729.0198058907704</c:v>
                </c:pt>
                <c:pt idx="245">
                  <c:v>1735.7218850155914</c:v>
                </c:pt>
                <c:pt idx="246">
                  <c:v>1742.4237324590101</c:v>
                </c:pt>
                <c:pt idx="247">
                  <c:v>1749.1253531442562</c:v>
                </c:pt>
                <c:pt idx="248">
                  <c:v>1755.8267518899409</c:v>
                </c:pt>
                <c:pt idx="249">
                  <c:v>1762.5279334122797</c:v>
                </c:pt>
                <c:pt idx="250">
                  <c:v>1769.2289023272688</c:v>
                </c:pt>
                <c:pt idx="251">
                  <c:v>1775.9296631528143</c:v>
                </c:pt>
                <c:pt idx="252">
                  <c:v>1782.6302203108171</c:v>
                </c:pt>
                <c:pt idx="253">
                  <c:v>1789.3305781292122</c:v>
                </c:pt>
                <c:pt idx="254">
                  <c:v>1796.0307408439664</c:v>
                </c:pt>
                <c:pt idx="255">
                  <c:v>1802.7307126010321</c:v>
                </c:pt>
                <c:pt idx="256">
                  <c:v>1809.4304974582601</c:v>
                </c:pt>
                <c:pt idx="257">
                  <c:v>1816.1300993872721</c:v>
                </c:pt>
                <c:pt idx="258">
                  <c:v>1822.8295222752927</c:v>
                </c:pt>
                <c:pt idx="259">
                  <c:v>1829.5287699269427</c:v>
                </c:pt>
                <c:pt idx="260">
                  <c:v>1836.2278460659952</c:v>
                </c:pt>
                <c:pt idx="261">
                  <c:v>1842.9267543370929</c:v>
                </c:pt>
                <c:pt idx="262">
                  <c:v>1849.6254983074298</c:v>
                </c:pt>
                <c:pt idx="263">
                  <c:v>1856.3240814683968</c:v>
                </c:pt>
                <c:pt idx="264">
                  <c:v>1863.0225072371934</c:v>
                </c:pt>
                <c:pt idx="265">
                  <c:v>1869.7207789584031</c:v>
                </c:pt>
                <c:pt idx="266">
                  <c:v>1876.418899905537</c:v>
                </c:pt>
                <c:pt idx="267">
                  <c:v>1883.1168732825445</c:v>
                </c:pt>
                <c:pt idx="268">
                  <c:v>1889.8147022252904</c:v>
                </c:pt>
                <c:pt idx="269">
                  <c:v>1896.5123898030029</c:v>
                </c:pt>
                <c:pt idx="270">
                  <c:v>1903.209939019689</c:v>
                </c:pt>
                <c:pt idx="271">
                  <c:v>1909.9073528155207</c:v>
                </c:pt>
                <c:pt idx="272">
                  <c:v>1916.6046340681908</c:v>
                </c:pt>
                <c:pt idx="273">
                  <c:v>1923.3017855942417</c:v>
                </c:pt>
                <c:pt idx="274">
                  <c:v>1929.9988101503641</c:v>
                </c:pt>
                <c:pt idx="275">
                  <c:v>1936.6957104346689</c:v>
                </c:pt>
                <c:pt idx="276">
                  <c:v>1943.3924890879321</c:v>
                </c:pt>
                <c:pt idx="277">
                  <c:v>1950.0891486948135</c:v>
                </c:pt>
                <c:pt idx="278">
                  <c:v>1956.7856917850488</c:v>
                </c:pt>
                <c:pt idx="279">
                  <c:v>1963.4821208346166</c:v>
                </c:pt>
                <c:pt idx="280">
                  <c:v>1970.1784382668809</c:v>
                </c:pt>
                <c:pt idx="281">
                  <c:v>1976.8746464537096</c:v>
                </c:pt>
                <c:pt idx="282">
                  <c:v>1983.5707477165683</c:v>
                </c:pt>
                <c:pt idx="283">
                  <c:v>1990.2667443275914</c:v>
                </c:pt>
                <c:pt idx="284">
                  <c:v>1996.9626385106301</c:v>
                </c:pt>
                <c:pt idx="285">
                  <c:v>2003.6584324422793</c:v>
                </c:pt>
                <c:pt idx="286">
                  <c:v>2010.3541282528809</c:v>
                </c:pt>
                <c:pt idx="287">
                  <c:v>2017.0497280275072</c:v>
                </c:pt>
                <c:pt idx="288">
                  <c:v>2023.7452338069227</c:v>
                </c:pt>
                <c:pt idx="289">
                  <c:v>2030.4406475885255</c:v>
                </c:pt>
                <c:pt idx="290">
                  <c:v>2037.1359713272693</c:v>
                </c:pt>
                <c:pt idx="291">
                  <c:v>2043.8312069365647</c:v>
                </c:pt>
                <c:pt idx="292">
                  <c:v>2050.5263562891628</c:v>
                </c:pt>
                <c:pt idx="293">
                  <c:v>2057.2214212180179</c:v>
                </c:pt>
                <c:pt idx="294">
                  <c:v>2063.9164035171352</c:v>
                </c:pt>
                <c:pt idx="295">
                  <c:v>2070.6113049423961</c:v>
                </c:pt>
                <c:pt idx="296">
                  <c:v>2077.30612721237</c:v>
                </c:pt>
                <c:pt idx="297">
                  <c:v>2084.0008720091073</c:v>
                </c:pt>
                <c:pt idx="298">
                  <c:v>2090.6955409789139</c:v>
                </c:pt>
                <c:pt idx="299">
                  <c:v>2097.3901357331119</c:v>
                </c:pt>
                <c:pt idx="300">
                  <c:v>2104.0846578487835</c:v>
                </c:pt>
                <c:pt idx="301">
                  <c:v>2110.7791088694967</c:v>
                </c:pt>
                <c:pt idx="302">
                  <c:v>2117.4734903060198</c:v>
                </c:pt>
                <c:pt idx="303">
                  <c:v>2124.1678036370167</c:v>
                </c:pt>
                <c:pt idx="304">
                  <c:v>2130.86205030973</c:v>
                </c:pt>
                <c:pt idx="305">
                  <c:v>2137.5562317406484</c:v>
                </c:pt>
                <c:pt idx="306">
                  <c:v>2144.2503493161598</c:v>
                </c:pt>
                <c:pt idx="307">
                  <c:v>2150.9444043931912</c:v>
                </c:pt>
                <c:pt idx="308">
                  <c:v>2157.6383982998359</c:v>
                </c:pt>
                <c:pt idx="309">
                  <c:v>2164.3323323359646</c:v>
                </c:pt>
                <c:pt idx="310">
                  <c:v>2171.0262077738253</c:v>
                </c:pt>
                <c:pt idx="311">
                  <c:v>2177.7200258586313</c:v>
                </c:pt>
                <c:pt idx="312">
                  <c:v>2184.4137878091356</c:v>
                </c:pt>
                <c:pt idx="313">
                  <c:v>2191.1074948181913</c:v>
                </c:pt>
                <c:pt idx="314">
                  <c:v>2197.8011480533046</c:v>
                </c:pt>
                <c:pt idx="315">
                  <c:v>2204.4947486571718</c:v>
                </c:pt>
                <c:pt idx="316">
                  <c:v>2211.1882977482069</c:v>
                </c:pt>
                <c:pt idx="317">
                  <c:v>2217.8817964210575</c:v>
                </c:pt>
                <c:pt idx="318">
                  <c:v>2224.5752457471099</c:v>
                </c:pt>
                <c:pt idx="319">
                  <c:v>2231.2686467749836</c:v>
                </c:pt>
                <c:pt idx="320">
                  <c:v>2237.9620005310153</c:v>
                </c:pt>
                <c:pt idx="321">
                  <c:v>2244.6553080197314</c:v>
                </c:pt>
                <c:pt idx="322">
                  <c:v>2251.348570224312</c:v>
                </c:pt>
                <c:pt idx="323">
                  <c:v>2258.0417881070452</c:v>
                </c:pt>
                <c:pt idx="324">
                  <c:v>2264.7349626097707</c:v>
                </c:pt>
                <c:pt idx="325">
                  <c:v>2271.4280946543131</c:v>
                </c:pt>
                <c:pt idx="326">
                  <c:v>2278.1211851429089</c:v>
                </c:pt>
                <c:pt idx="327">
                  <c:v>2284.8142349586219</c:v>
                </c:pt>
                <c:pt idx="328">
                  <c:v>2291.5072449657514</c:v>
                </c:pt>
                <c:pt idx="329">
                  <c:v>2298.2002160102293</c:v>
                </c:pt>
                <c:pt idx="330">
                  <c:v>2304.8931489200118</c:v>
                </c:pt>
                <c:pt idx="331">
                  <c:v>2311.5860445054614</c:v>
                </c:pt>
                <c:pt idx="332">
                  <c:v>2318.2789035597202</c:v>
                </c:pt>
                <c:pt idx="333">
                  <c:v>2324.9717268590762</c:v>
                </c:pt>
                <c:pt idx="334">
                  <c:v>2331.6645151633206</c:v>
                </c:pt>
                <c:pt idx="335">
                  <c:v>2338.3572692161001</c:v>
                </c:pt>
                <c:pt idx="336">
                  <c:v>2345.0499897452578</c:v>
                </c:pt>
                <c:pt idx="337">
                  <c:v>2351.7426774631708</c:v>
                </c:pt>
                <c:pt idx="338">
                  <c:v>2358.4353330670783</c:v>
                </c:pt>
                <c:pt idx="339">
                  <c:v>2365.1279572394028</c:v>
                </c:pt>
                <c:pt idx="340">
                  <c:v>2371.8205506480654</c:v>
                </c:pt>
                <c:pt idx="341">
                  <c:v>2378.513113946794</c:v>
                </c:pt>
                <c:pt idx="342">
                  <c:v>2385.2056477754245</c:v>
                </c:pt>
                <c:pt idx="343">
                  <c:v>2391.8981527601968</c:v>
                </c:pt>
                <c:pt idx="344">
                  <c:v>2398.5906295140426</c:v>
                </c:pt>
                <c:pt idx="345">
                  <c:v>2405.283078636869</c:v>
                </c:pt>
                <c:pt idx="346">
                  <c:v>2411.9755007158356</c:v>
                </c:pt>
                <c:pt idx="347">
                  <c:v>2418.667896325624</c:v>
                </c:pt>
                <c:pt idx="348">
                  <c:v>2425.3602660287047</c:v>
                </c:pt>
                <c:pt idx="349">
                  <c:v>2432.0526103755947</c:v>
                </c:pt>
                <c:pt idx="350">
                  <c:v>2438.7449299051132</c:v>
                </c:pt>
                <c:pt idx="351">
                  <c:v>2445.4372251446293</c:v>
                </c:pt>
                <c:pt idx="352">
                  <c:v>2452.129496610306</c:v>
                </c:pt>
                <c:pt idx="353">
                  <c:v>2458.8217448073369</c:v>
                </c:pt>
                <c:pt idx="354">
                  <c:v>2465.5139702301808</c:v>
                </c:pt>
                <c:pt idx="355">
                  <c:v>2472.2061733627893</c:v>
                </c:pt>
                <c:pt idx="356">
                  <c:v>2478.8983546788299</c:v>
                </c:pt>
                <c:pt idx="357">
                  <c:v>2485.590514641905</c:v>
                </c:pt>
                <c:pt idx="358">
                  <c:v>2492.2826537057645</c:v>
                </c:pt>
                <c:pt idx="359">
                  <c:v>2498.9747723145169</c:v>
                </c:pt>
                <c:pt idx="360">
                  <c:v>2505.6668709028336</c:v>
                </c:pt>
                <c:pt idx="361">
                  <c:v>2512.3589498961483</c:v>
                </c:pt>
                <c:pt idx="362">
                  <c:v>2519.0510097108549</c:v>
                </c:pt>
                <c:pt idx="363">
                  <c:v>2525.7430507544991</c:v>
                </c:pt>
                <c:pt idx="364">
                  <c:v>2532.435073425966</c:v>
                </c:pt>
                <c:pt idx="365">
                  <c:v>2539.1270781156641</c:v>
                </c:pt>
                <c:pt idx="366">
                  <c:v>2545.819065205706</c:v>
                </c:pt>
                <c:pt idx="367">
                  <c:v>2552.5110350700847</c:v>
                </c:pt>
                <c:pt idx="368">
                  <c:v>2559.2029880748455</c:v>
                </c:pt>
                <c:pt idx="369">
                  <c:v>2565.8949245782551</c:v>
                </c:pt>
                <c:pt idx="370">
                  <c:v>2572.5868449309673</c:v>
                </c:pt>
                <c:pt idx="371">
                  <c:v>2579.2787494761842</c:v>
                </c:pt>
                <c:pt idx="372">
                  <c:v>2585.9706385498152</c:v>
                </c:pt>
                <c:pt idx="373">
                  <c:v>2592.6625124806314</c:v>
                </c:pt>
                <c:pt idx="374">
                  <c:v>2599.3543715904179</c:v>
                </c:pt>
                <c:pt idx="375">
                  <c:v>2606.0462161941214</c:v>
                </c:pt>
                <c:pt idx="376">
                  <c:v>2612.7380465999963</c:v>
                </c:pt>
                <c:pt idx="377">
                  <c:v>2619.4298631097463</c:v>
                </c:pt>
                <c:pt idx="378">
                  <c:v>2626.1216660186642</c:v>
                </c:pt>
                <c:pt idx="379">
                  <c:v>2632.8134556157675</c:v>
                </c:pt>
                <c:pt idx="380">
                  <c:v>2639.5052321839325</c:v>
                </c:pt>
                <c:pt idx="381">
                  <c:v>2646.1969960000238</c:v>
                </c:pt>
                <c:pt idx="382">
                  <c:v>2652.8887473350233</c:v>
                </c:pt>
                <c:pt idx="383">
                  <c:v>2659.5804864541537</c:v>
                </c:pt>
                <c:pt idx="384">
                  <c:v>2666.2722136170028</c:v>
                </c:pt>
                <c:pt idx="385">
                  <c:v>2672.9639290776413</c:v>
                </c:pt>
                <c:pt idx="386">
                  <c:v>2679.6556330847416</c:v>
                </c:pt>
                <c:pt idx="387">
                  <c:v>2686.3473258816907</c:v>
                </c:pt>
                <c:pt idx="388">
                  <c:v>2693.0390077067045</c:v>
                </c:pt>
                <c:pt idx="389">
                  <c:v>2699.7306787929369</c:v>
                </c:pt>
                <c:pt idx="390">
                  <c:v>2706.422339368587</c:v>
                </c:pt>
                <c:pt idx="391">
                  <c:v>2713.1139896570044</c:v>
                </c:pt>
                <c:pt idx="392">
                  <c:v>2719.8056298767929</c:v>
                </c:pt>
                <c:pt idx="393">
                  <c:v>2726.4972602419111</c:v>
                </c:pt>
                <c:pt idx="394">
                  <c:v>2733.1888809617703</c:v>
                </c:pt>
                <c:pt idx="395">
                  <c:v>2739.8804922413328</c:v>
                </c:pt>
                <c:pt idx="396">
                  <c:v>2746.5720942812045</c:v>
                </c:pt>
                <c:pt idx="397">
                  <c:v>2753.2636872777289</c:v>
                </c:pt>
                <c:pt idx="398">
                  <c:v>2759.9552714230772</c:v>
                </c:pt>
                <c:pt idx="399">
                  <c:v>2766.6468469053366</c:v>
                </c:pt>
                <c:pt idx="400">
                  <c:v>2773.3384139085983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92768"/>
        <c:axId val="200939008"/>
      </c:lineChart>
      <c:catAx>
        <c:axId val="20059276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Years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51020384299897126"/>
              <c:y val="0.8953493649069669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0939008"/>
        <c:crossesAt val="0"/>
        <c:auto val="1"/>
        <c:lblAlgn val="ctr"/>
        <c:lblOffset val="100"/>
        <c:tickLblSkip val="50"/>
        <c:tickMarkSkip val="20"/>
        <c:noMultiLvlLbl val="0"/>
      </c:catAx>
      <c:valAx>
        <c:axId val="200939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People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0592768"/>
        <c:crossesAt val="1"/>
        <c:crossBetween val="midCat"/>
      </c:valAx>
    </c:plotArea>
    <c:legend>
      <c:legendPos val="b"/>
      <c:legendEntry>
        <c:idx val="0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ru-RU"/>
          </a:p>
        </c:txPr>
      </c:legendEntry>
      <c:legendEntry>
        <c:idx val="1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ru-RU"/>
          </a:p>
        </c:txPr>
      </c:legendEntry>
      <c:layout>
        <c:manualLayout>
          <c:xMode val="edge"/>
          <c:yMode val="edge"/>
          <c:x val="0.2020898209462679"/>
          <c:y val="0.94152911841642306"/>
          <c:w val="0.61067033724511344"/>
          <c:h val="5.847088158357681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80281</xdr:colOff>
      <xdr:row>0</xdr:row>
      <xdr:rowOff>47623</xdr:rowOff>
    </xdr:from>
    <xdr:to>
      <xdr:col>26</xdr:col>
      <xdr:colOff>587828</xdr:colOff>
      <xdr:row>22</xdr:row>
      <xdr:rowOff>32656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156481</xdr:colOff>
      <xdr:row>22</xdr:row>
      <xdr:rowOff>97288</xdr:rowOff>
    </xdr:from>
    <xdr:to>
      <xdr:col>27</xdr:col>
      <xdr:colOff>10886</xdr:colOff>
      <xdr:row>45</xdr:row>
      <xdr:rowOff>141513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2"/>
  <sheetViews>
    <sheetView tabSelected="1" zoomScale="70" zoomScaleNormal="70" workbookViewId="0"/>
  </sheetViews>
  <sheetFormatPr defaultColWidth="9.77734375" defaultRowHeight="13.2" x14ac:dyDescent="0.3"/>
  <cols>
    <col min="1" max="1" width="14.5546875" style="1" customWidth="1"/>
    <col min="2" max="2" width="8.109375" style="2" customWidth="1"/>
    <col min="3" max="3" width="6.109375" style="2" customWidth="1"/>
    <col min="4" max="4" width="4" style="2" customWidth="1"/>
    <col min="5" max="5" width="4.21875" style="2" customWidth="1"/>
    <col min="6" max="6" width="7" style="2" customWidth="1"/>
    <col min="7" max="7" width="6.109375" style="2" customWidth="1"/>
    <col min="8" max="8" width="7.5546875" style="2" customWidth="1"/>
    <col min="9" max="9" width="6.5546875" style="2" customWidth="1"/>
    <col min="10" max="10" width="8" style="2" customWidth="1"/>
    <col min="11" max="11" width="6.5546875" style="2" customWidth="1"/>
    <col min="12" max="12" width="8.88671875" style="2" customWidth="1"/>
    <col min="13" max="14" width="6.88671875" style="2" customWidth="1"/>
    <col min="15" max="15" width="8.44140625" style="2" customWidth="1"/>
    <col min="16" max="16" width="8.21875" style="2" customWidth="1"/>
    <col min="17" max="18" width="9.77734375" style="2" customWidth="1"/>
    <col min="19" max="19" width="7.21875" style="2" customWidth="1"/>
    <col min="20" max="16384" width="9.77734375" style="2"/>
  </cols>
  <sheetData>
    <row r="1" spans="1:19" ht="39.6" x14ac:dyDescent="0.3">
      <c r="G1" s="2" t="s">
        <v>5</v>
      </c>
      <c r="H1" s="2" t="s">
        <v>7</v>
      </c>
      <c r="I1" s="2" t="s">
        <v>4</v>
      </c>
      <c r="J1" s="2" t="s">
        <v>8</v>
      </c>
      <c r="K1" s="2" t="s">
        <v>6</v>
      </c>
      <c r="L1" s="2" t="s">
        <v>9</v>
      </c>
      <c r="M1" s="2" t="s">
        <v>10</v>
      </c>
      <c r="N1" s="2" t="s">
        <v>11</v>
      </c>
      <c r="O1" s="2" t="s">
        <v>24</v>
      </c>
      <c r="P1" s="2" t="s">
        <v>12</v>
      </c>
      <c r="Q1" s="2" t="s">
        <v>14</v>
      </c>
      <c r="R1" s="2" t="s">
        <v>15</v>
      </c>
      <c r="S1" s="2" t="s">
        <v>13</v>
      </c>
    </row>
    <row r="2" spans="1:19" x14ac:dyDescent="0.3">
      <c r="A2" s="3" t="s">
        <v>3</v>
      </c>
      <c r="B2" s="10">
        <v>0.25</v>
      </c>
      <c r="C2" s="4" t="s">
        <v>16</v>
      </c>
      <c r="E2" s="2">
        <v>0</v>
      </c>
      <c r="F2" s="2">
        <f t="shared" ref="F2:F65" si="0">E2*$B$2</f>
        <v>0</v>
      </c>
      <c r="G2" s="2">
        <v>0</v>
      </c>
      <c r="H2" s="2">
        <f>B4</f>
        <v>300</v>
      </c>
      <c r="I2" s="2">
        <v>0</v>
      </c>
      <c r="J2" s="5">
        <f>B5</f>
        <v>1000</v>
      </c>
      <c r="K2" s="5">
        <v>0</v>
      </c>
      <c r="L2" s="5">
        <f>B6</f>
        <v>50</v>
      </c>
      <c r="M2" s="5">
        <v>0</v>
      </c>
      <c r="N2" s="5">
        <v>0</v>
      </c>
      <c r="O2" s="5">
        <f>M2+N2</f>
        <v>0</v>
      </c>
      <c r="P2" s="5">
        <v>0</v>
      </c>
      <c r="Q2" s="5">
        <f t="shared" ref="Q2:Q3" si="1">$B$3+P2-O2</f>
        <v>1350</v>
      </c>
      <c r="R2" s="5">
        <f>H2+J2+L2</f>
        <v>1350</v>
      </c>
      <c r="S2" s="5">
        <f>Q2-R2</f>
        <v>0</v>
      </c>
    </row>
    <row r="3" spans="1:19" ht="15.6" customHeight="1" x14ac:dyDescent="0.3">
      <c r="A3" s="1" t="s">
        <v>0</v>
      </c>
      <c r="B3" s="11">
        <f>B4+B5+B6</f>
        <v>1350</v>
      </c>
      <c r="C3" s="2" t="s">
        <v>1</v>
      </c>
      <c r="E3" s="2">
        <v>1</v>
      </c>
      <c r="F3" s="6">
        <f t="shared" si="0"/>
        <v>0.25</v>
      </c>
      <c r="G3" s="6">
        <f t="shared" ref="G3" si="2">J2*$B$7*$B$2</f>
        <v>8.75</v>
      </c>
      <c r="H3" s="6">
        <f>H2+(G3-I3)</f>
        <v>305</v>
      </c>
      <c r="I3" s="6">
        <f>H2*$B$2/$B$10</f>
        <v>3.75</v>
      </c>
      <c r="J3" s="6">
        <f>J2+I3-K3-N3</f>
        <v>995</v>
      </c>
      <c r="K3" s="6">
        <f>J2*$B$2/$B$11</f>
        <v>6.25</v>
      </c>
      <c r="L3" s="6">
        <f>L2+(K3-M3)</f>
        <v>56.125</v>
      </c>
      <c r="M3" s="6">
        <f t="shared" ref="M3:M66" si="3">L2*$B$8*$B$2</f>
        <v>0.125</v>
      </c>
      <c r="N3" s="6">
        <f>J2*$B$9*$B$2</f>
        <v>2.5</v>
      </c>
      <c r="O3" s="6">
        <f>O2+M3+N3</f>
        <v>2.625</v>
      </c>
      <c r="P3" s="6">
        <f>SUM($G$2:G3)</f>
        <v>8.75</v>
      </c>
      <c r="Q3" s="6">
        <f t="shared" si="1"/>
        <v>1356.125</v>
      </c>
      <c r="R3" s="6">
        <f>H3+J3+L3</f>
        <v>1356.125</v>
      </c>
      <c r="S3" s="6">
        <f t="shared" ref="S3" si="4">Q3-R3</f>
        <v>0</v>
      </c>
    </row>
    <row r="4" spans="1:19" ht="15.6" customHeight="1" x14ac:dyDescent="0.3">
      <c r="A4" s="1" t="s">
        <v>21</v>
      </c>
      <c r="B4" s="11">
        <v>300</v>
      </c>
      <c r="C4" s="2" t="s">
        <v>1</v>
      </c>
      <c r="E4" s="2">
        <v>2</v>
      </c>
      <c r="F4" s="6">
        <f t="shared" si="0"/>
        <v>0.5</v>
      </c>
      <c r="G4" s="6">
        <f t="shared" ref="G4:G67" si="5">J3*$B$7*$B$2</f>
        <v>8.7062500000000007</v>
      </c>
      <c r="H4" s="6">
        <f t="shared" ref="H4:H67" si="6">H3+(G4-I4)</f>
        <v>309.89375000000001</v>
      </c>
      <c r="I4" s="6">
        <f t="shared" ref="I4:I67" si="7">H3*$B$2/$B$10</f>
        <v>3.8125</v>
      </c>
      <c r="J4" s="6">
        <f t="shared" ref="J4:J67" si="8">J3+I4-K4-N4</f>
        <v>990.10625000000005</v>
      </c>
      <c r="K4" s="6">
        <f t="shared" ref="K4:K67" si="9">J3*$B$2/$B$11</f>
        <v>6.21875</v>
      </c>
      <c r="L4" s="6">
        <f t="shared" ref="L4:L67" si="10">L3+(K4-M4)</f>
        <v>62.2034375</v>
      </c>
      <c r="M4" s="6">
        <f t="shared" si="3"/>
        <v>0.14031250000000001</v>
      </c>
      <c r="N4" s="6">
        <f t="shared" ref="N4:N67" si="11">J3*$B$9*$B$2</f>
        <v>2.4875000000000003</v>
      </c>
      <c r="O4" s="6">
        <f t="shared" ref="O4:O67" si="12">O3+M4+N4</f>
        <v>5.2528125000000001</v>
      </c>
      <c r="P4" s="6">
        <f>SUM($G$2:G4)</f>
        <v>17.456250000000001</v>
      </c>
      <c r="Q4" s="6">
        <f t="shared" ref="Q4:Q67" si="13">$B$3+P4-O4</f>
        <v>1362.2034375000001</v>
      </c>
      <c r="R4" s="6">
        <f t="shared" ref="R4:R67" si="14">H4+J4+L4</f>
        <v>1362.2034375000001</v>
      </c>
      <c r="S4" s="6">
        <f t="shared" ref="S4:S67" si="15">Q4-R4</f>
        <v>0</v>
      </c>
    </row>
    <row r="5" spans="1:19" ht="15.6" customHeight="1" x14ac:dyDescent="0.3">
      <c r="A5" s="1" t="s">
        <v>22</v>
      </c>
      <c r="B5" s="11">
        <v>1000</v>
      </c>
      <c r="C5" s="2" t="s">
        <v>1</v>
      </c>
      <c r="E5" s="2">
        <v>3</v>
      </c>
      <c r="F5" s="6">
        <f t="shared" si="0"/>
        <v>0.75</v>
      </c>
      <c r="G5" s="6">
        <f t="shared" si="5"/>
        <v>8.6634296875000008</v>
      </c>
      <c r="H5" s="6">
        <f t="shared" si="6"/>
        <v>314.68350781250001</v>
      </c>
      <c r="I5" s="6">
        <f t="shared" si="7"/>
        <v>3.8736718750000003</v>
      </c>
      <c r="J5" s="6">
        <f t="shared" si="8"/>
        <v>985.31649218749999</v>
      </c>
      <c r="K5" s="6">
        <f t="shared" si="9"/>
        <v>6.1881640625000003</v>
      </c>
      <c r="L5" s="6">
        <f t="shared" si="10"/>
        <v>68.23609296875</v>
      </c>
      <c r="M5" s="6">
        <f t="shared" si="3"/>
        <v>0.15550859375000001</v>
      </c>
      <c r="N5" s="6">
        <f t="shared" si="11"/>
        <v>2.475265625</v>
      </c>
      <c r="O5" s="6">
        <f t="shared" si="12"/>
        <v>7.8835867187499993</v>
      </c>
      <c r="P5" s="6">
        <f>SUM($G$2:G5)</f>
        <v>26.119679687500003</v>
      </c>
      <c r="Q5" s="6">
        <f t="shared" si="13"/>
        <v>1368.23609296875</v>
      </c>
      <c r="R5" s="6">
        <f t="shared" si="14"/>
        <v>1368.23609296875</v>
      </c>
      <c r="S5" s="6">
        <f t="shared" si="15"/>
        <v>0</v>
      </c>
    </row>
    <row r="6" spans="1:19" ht="15.6" customHeight="1" x14ac:dyDescent="0.3">
      <c r="A6" s="1" t="s">
        <v>23</v>
      </c>
      <c r="B6" s="11">
        <v>50</v>
      </c>
      <c r="C6" s="2" t="s">
        <v>1</v>
      </c>
      <c r="E6" s="2">
        <v>4</v>
      </c>
      <c r="F6" s="6">
        <f t="shared" si="0"/>
        <v>1</v>
      </c>
      <c r="G6" s="6">
        <f t="shared" si="5"/>
        <v>8.621519306640625</v>
      </c>
      <c r="H6" s="6">
        <f t="shared" si="6"/>
        <v>319.37148327148441</v>
      </c>
      <c r="I6" s="6">
        <f t="shared" si="7"/>
        <v>3.9335438476562503</v>
      </c>
      <c r="J6" s="6">
        <f t="shared" si="8"/>
        <v>980.62851672851559</v>
      </c>
      <c r="K6" s="6">
        <f t="shared" si="9"/>
        <v>6.1582280761718753</v>
      </c>
      <c r="L6" s="6">
        <f t="shared" si="10"/>
        <v>74.223730812499994</v>
      </c>
      <c r="M6" s="6">
        <f t="shared" si="3"/>
        <v>0.17059023242187502</v>
      </c>
      <c r="N6" s="6">
        <f t="shared" si="11"/>
        <v>2.4632912304687502</v>
      </c>
      <c r="O6" s="6">
        <f t="shared" si="12"/>
        <v>10.517468181640623</v>
      </c>
      <c r="P6" s="6">
        <f>SUM($G$2:G6)</f>
        <v>34.741198994140632</v>
      </c>
      <c r="Q6" s="6">
        <f t="shared" si="13"/>
        <v>1374.2237308125</v>
      </c>
      <c r="R6" s="6">
        <f t="shared" si="14"/>
        <v>1374.2237308125</v>
      </c>
      <c r="S6" s="6">
        <f t="shared" si="15"/>
        <v>0</v>
      </c>
    </row>
    <row r="7" spans="1:19" ht="15.6" customHeight="1" x14ac:dyDescent="0.3">
      <c r="A7" s="1" t="s">
        <v>2</v>
      </c>
      <c r="B7" s="11">
        <v>3.5000000000000003E-2</v>
      </c>
      <c r="D7" s="7"/>
      <c r="E7" s="2">
        <v>5</v>
      </c>
      <c r="F7" s="6">
        <f t="shared" si="0"/>
        <v>1.25</v>
      </c>
      <c r="G7" s="6">
        <f t="shared" si="5"/>
        <v>8.580499521374513</v>
      </c>
      <c r="H7" s="6">
        <f t="shared" si="6"/>
        <v>323.95983925196538</v>
      </c>
      <c r="I7" s="6">
        <f t="shared" si="7"/>
        <v>3.9921435408935553</v>
      </c>
      <c r="J7" s="6">
        <f t="shared" si="8"/>
        <v>976.04016074803462</v>
      </c>
      <c r="K7" s="6">
        <f t="shared" si="9"/>
        <v>6.1289282295532228</v>
      </c>
      <c r="L7" s="6">
        <f t="shared" si="10"/>
        <v>80.167099715021962</v>
      </c>
      <c r="M7" s="6">
        <f t="shared" si="3"/>
        <v>0.18555932703125</v>
      </c>
      <c r="N7" s="6">
        <f t="shared" si="11"/>
        <v>2.4515712918212889</v>
      </c>
      <c r="O7" s="6">
        <f t="shared" si="12"/>
        <v>13.154598800493162</v>
      </c>
      <c r="P7" s="6">
        <f>SUM($G$2:G7)</f>
        <v>43.321698515515145</v>
      </c>
      <c r="Q7" s="6">
        <f t="shared" si="13"/>
        <v>1380.167099715022</v>
      </c>
      <c r="R7" s="6">
        <f t="shared" si="14"/>
        <v>1380.167099715022</v>
      </c>
      <c r="S7" s="6">
        <f t="shared" si="15"/>
        <v>0</v>
      </c>
    </row>
    <row r="8" spans="1:19" ht="13.8" customHeight="1" x14ac:dyDescent="0.3">
      <c r="A8" s="1" t="s">
        <v>19</v>
      </c>
      <c r="B8" s="11">
        <v>0.01</v>
      </c>
      <c r="D8" s="7"/>
      <c r="E8" s="2">
        <v>6</v>
      </c>
      <c r="F8" s="6">
        <f t="shared" si="0"/>
        <v>1.5</v>
      </c>
      <c r="G8" s="6">
        <f t="shared" si="5"/>
        <v>8.5403514065453034</v>
      </c>
      <c r="H8" s="6">
        <f t="shared" si="6"/>
        <v>328.45069266786112</v>
      </c>
      <c r="I8" s="6">
        <f t="shared" si="7"/>
        <v>4.0494979906495674</v>
      </c>
      <c r="J8" s="6">
        <f t="shared" si="8"/>
        <v>971.54930733213894</v>
      </c>
      <c r="K8" s="6">
        <f t="shared" si="9"/>
        <v>6.1002510046752167</v>
      </c>
      <c r="L8" s="6">
        <f t="shared" si="10"/>
        <v>86.066932970409624</v>
      </c>
      <c r="M8" s="6">
        <f t="shared" si="3"/>
        <v>0.2004177492875549</v>
      </c>
      <c r="N8" s="6">
        <f t="shared" si="11"/>
        <v>2.4401004018700867</v>
      </c>
      <c r="O8" s="6">
        <f t="shared" si="12"/>
        <v>15.795116951650803</v>
      </c>
      <c r="P8" s="6">
        <f>SUM($G$2:G8)</f>
        <v>51.86204992206045</v>
      </c>
      <c r="Q8" s="6">
        <f t="shared" si="13"/>
        <v>1386.0669329704097</v>
      </c>
      <c r="R8" s="6">
        <f t="shared" si="14"/>
        <v>1386.0669329704097</v>
      </c>
      <c r="S8" s="6">
        <f t="shared" si="15"/>
        <v>0</v>
      </c>
    </row>
    <row r="9" spans="1:19" x14ac:dyDescent="0.3">
      <c r="A9" s="1" t="s">
        <v>20</v>
      </c>
      <c r="B9" s="11">
        <v>0.01</v>
      </c>
      <c r="E9" s="2">
        <v>7</v>
      </c>
      <c r="F9" s="6">
        <f t="shared" si="0"/>
        <v>1.75</v>
      </c>
      <c r="G9" s="6">
        <f t="shared" si="5"/>
        <v>8.5010564391562173</v>
      </c>
      <c r="H9" s="6">
        <f t="shared" si="6"/>
        <v>332.84611544866908</v>
      </c>
      <c r="I9" s="6">
        <f t="shared" si="7"/>
        <v>4.105633658348264</v>
      </c>
      <c r="J9" s="6">
        <f t="shared" si="8"/>
        <v>967.15388455133098</v>
      </c>
      <c r="K9" s="6">
        <f t="shared" si="9"/>
        <v>6.072183170825868</v>
      </c>
      <c r="L9" s="6">
        <f t="shared" si="10"/>
        <v>91.92394880880947</v>
      </c>
      <c r="M9" s="6">
        <f t="shared" si="3"/>
        <v>0.21516733242602407</v>
      </c>
      <c r="N9" s="6">
        <f t="shared" si="11"/>
        <v>2.4288732683303476</v>
      </c>
      <c r="O9" s="6">
        <f t="shared" si="12"/>
        <v>18.439157552407174</v>
      </c>
      <c r="P9" s="6">
        <f>SUM($G$2:G9)</f>
        <v>60.363106361216666</v>
      </c>
      <c r="Q9" s="6">
        <f t="shared" si="13"/>
        <v>1391.9239488088097</v>
      </c>
      <c r="R9" s="6">
        <f t="shared" si="14"/>
        <v>1391.9239488088094</v>
      </c>
      <c r="S9" s="6">
        <f t="shared" si="15"/>
        <v>0</v>
      </c>
    </row>
    <row r="10" spans="1:19" x14ac:dyDescent="0.3">
      <c r="A10" s="8" t="s">
        <v>17</v>
      </c>
      <c r="B10" s="12">
        <v>20</v>
      </c>
      <c r="C10" s="7" t="s">
        <v>16</v>
      </c>
      <c r="E10" s="2">
        <v>8</v>
      </c>
      <c r="F10" s="6">
        <f t="shared" si="0"/>
        <v>2</v>
      </c>
      <c r="G10" s="6">
        <f t="shared" si="5"/>
        <v>8.462596489824147</v>
      </c>
      <c r="H10" s="6">
        <f t="shared" si="6"/>
        <v>337.14813549538485</v>
      </c>
      <c r="I10" s="6">
        <f t="shared" si="7"/>
        <v>4.1605764431083632</v>
      </c>
      <c r="J10" s="6">
        <f t="shared" si="8"/>
        <v>962.85186450461515</v>
      </c>
      <c r="K10" s="6">
        <f t="shared" si="9"/>
        <v>6.0447117784458184</v>
      </c>
      <c r="L10" s="6">
        <f t="shared" si="10"/>
        <v>97.738850715233269</v>
      </c>
      <c r="M10" s="6">
        <f t="shared" si="3"/>
        <v>0.22980987202202369</v>
      </c>
      <c r="N10" s="6">
        <f t="shared" si="11"/>
        <v>2.4178847113783273</v>
      </c>
      <c r="O10" s="6">
        <f t="shared" si="12"/>
        <v>21.086852135807526</v>
      </c>
      <c r="P10" s="6">
        <f>SUM($G$2:G10)</f>
        <v>68.825702851040816</v>
      </c>
      <c r="Q10" s="6">
        <f t="shared" si="13"/>
        <v>1397.7388507152334</v>
      </c>
      <c r="R10" s="6">
        <f t="shared" si="14"/>
        <v>1397.7388507152332</v>
      </c>
      <c r="S10" s="6">
        <f t="shared" si="15"/>
        <v>0</v>
      </c>
    </row>
    <row r="11" spans="1:19" x14ac:dyDescent="0.3">
      <c r="A11" s="1" t="s">
        <v>18</v>
      </c>
      <c r="B11" s="11">
        <v>40</v>
      </c>
      <c r="C11" s="2" t="s">
        <v>16</v>
      </c>
      <c r="E11" s="2">
        <v>9</v>
      </c>
      <c r="F11" s="6">
        <f t="shared" si="0"/>
        <v>2.25</v>
      </c>
      <c r="G11" s="6">
        <f t="shared" si="5"/>
        <v>8.4249538144153835</v>
      </c>
      <c r="H11" s="6">
        <f t="shared" si="6"/>
        <v>341.35873761610793</v>
      </c>
      <c r="I11" s="6">
        <f t="shared" si="7"/>
        <v>4.2143516936923104</v>
      </c>
      <c r="J11" s="6">
        <f t="shared" si="8"/>
        <v>958.64126238389201</v>
      </c>
      <c r="K11" s="6">
        <f t="shared" si="9"/>
        <v>6.0178241531538443</v>
      </c>
      <c r="L11" s="6">
        <f t="shared" si="10"/>
        <v>103.51232774159902</v>
      </c>
      <c r="M11" s="6">
        <f t="shared" si="3"/>
        <v>0.24434712678808318</v>
      </c>
      <c r="N11" s="6">
        <f t="shared" si="11"/>
        <v>2.4071296612615378</v>
      </c>
      <c r="O11" s="6">
        <f t="shared" si="12"/>
        <v>23.738328923857146</v>
      </c>
      <c r="P11" s="6">
        <f>SUM($G$2:G11)</f>
        <v>77.250656665456205</v>
      </c>
      <c r="Q11" s="6">
        <f t="shared" si="13"/>
        <v>1403.5123277415992</v>
      </c>
      <c r="R11" s="6">
        <f t="shared" si="14"/>
        <v>1403.5123277415989</v>
      </c>
      <c r="S11" s="6">
        <f t="shared" si="15"/>
        <v>0</v>
      </c>
    </row>
    <row r="12" spans="1:19" x14ac:dyDescent="0.3">
      <c r="A12" s="1" t="s">
        <v>25</v>
      </c>
      <c r="B12" s="11">
        <f>400*B2</f>
        <v>100</v>
      </c>
      <c r="C12" s="2" t="s">
        <v>16</v>
      </c>
      <c r="E12" s="2">
        <v>10</v>
      </c>
      <c r="F12" s="6">
        <f t="shared" si="0"/>
        <v>2.5</v>
      </c>
      <c r="G12" s="6">
        <f t="shared" si="5"/>
        <v>8.3881110458590555</v>
      </c>
      <c r="H12" s="6">
        <f t="shared" si="6"/>
        <v>345.47986444176564</v>
      </c>
      <c r="I12" s="6">
        <f t="shared" si="7"/>
        <v>4.2669842202013495</v>
      </c>
      <c r="J12" s="6">
        <f t="shared" si="8"/>
        <v>954.5201355582343</v>
      </c>
      <c r="K12" s="6">
        <f t="shared" si="9"/>
        <v>5.9915078898993253</v>
      </c>
      <c r="L12" s="6">
        <f t="shared" si="10"/>
        <v>109.24505481214435</v>
      </c>
      <c r="M12" s="6">
        <f t="shared" si="3"/>
        <v>0.25878081935399755</v>
      </c>
      <c r="N12" s="6">
        <f t="shared" si="11"/>
        <v>2.3966031559597303</v>
      </c>
      <c r="O12" s="6">
        <f t="shared" si="12"/>
        <v>26.393712899170875</v>
      </c>
      <c r="P12" s="6">
        <f>SUM($G$2:G12)</f>
        <v>85.638767711315268</v>
      </c>
      <c r="Q12" s="6">
        <f t="shared" si="13"/>
        <v>1409.2450548121444</v>
      </c>
      <c r="R12" s="6">
        <f t="shared" si="14"/>
        <v>1409.2450548121444</v>
      </c>
      <c r="S12" s="6">
        <f t="shared" si="15"/>
        <v>0</v>
      </c>
    </row>
    <row r="13" spans="1:19" x14ac:dyDescent="0.3">
      <c r="E13" s="2">
        <v>11</v>
      </c>
      <c r="F13" s="6">
        <f t="shared" si="0"/>
        <v>2.75</v>
      </c>
      <c r="G13" s="6">
        <f t="shared" si="5"/>
        <v>8.3520511861345508</v>
      </c>
      <c r="H13" s="6">
        <f t="shared" si="6"/>
        <v>349.51341732237813</v>
      </c>
      <c r="I13" s="6">
        <f t="shared" si="7"/>
        <v>4.3184983055220707</v>
      </c>
      <c r="J13" s="6">
        <f t="shared" si="8"/>
        <v>950.48658267762187</v>
      </c>
      <c r="K13" s="6">
        <f t="shared" si="9"/>
        <v>5.9657508472389642</v>
      </c>
      <c r="L13" s="6">
        <f t="shared" si="10"/>
        <v>114.93769302235295</v>
      </c>
      <c r="M13" s="6">
        <f t="shared" si="3"/>
        <v>0.27311263703036087</v>
      </c>
      <c r="N13" s="6">
        <f t="shared" si="11"/>
        <v>2.3863003388955857</v>
      </c>
      <c r="O13" s="6">
        <f t="shared" si="12"/>
        <v>29.053125875096825</v>
      </c>
      <c r="P13" s="6">
        <f>SUM($G$2:G13)</f>
        <v>93.990818897449813</v>
      </c>
      <c r="Q13" s="6">
        <f t="shared" si="13"/>
        <v>1414.937693022353</v>
      </c>
      <c r="R13" s="6">
        <f t="shared" si="14"/>
        <v>1414.937693022353</v>
      </c>
      <c r="S13" s="6">
        <f t="shared" si="15"/>
        <v>0</v>
      </c>
    </row>
    <row r="14" spans="1:19" x14ac:dyDescent="0.3">
      <c r="B14" s="6"/>
      <c r="E14" s="2">
        <v>12</v>
      </c>
      <c r="F14" s="6">
        <f t="shared" si="0"/>
        <v>3</v>
      </c>
      <c r="G14" s="6">
        <f t="shared" si="5"/>
        <v>8.3167575984291915</v>
      </c>
      <c r="H14" s="6">
        <f t="shared" si="6"/>
        <v>353.46125720427762</v>
      </c>
      <c r="I14" s="6">
        <f t="shared" si="7"/>
        <v>4.3689177165297268</v>
      </c>
      <c r="J14" s="6">
        <f t="shared" si="8"/>
        <v>946.53874279572244</v>
      </c>
      <c r="K14" s="6">
        <f t="shared" si="9"/>
        <v>5.940541141735137</v>
      </c>
      <c r="L14" s="6">
        <f t="shared" si="10"/>
        <v>120.5908899315322</v>
      </c>
      <c r="M14" s="6">
        <f t="shared" si="3"/>
        <v>0.28734423255588237</v>
      </c>
      <c r="N14" s="6">
        <f t="shared" si="11"/>
        <v>2.3762164566940549</v>
      </c>
      <c r="O14" s="6">
        <f t="shared" si="12"/>
        <v>31.716686564346762</v>
      </c>
      <c r="P14" s="6">
        <f>SUM($G$2:G14)</f>
        <v>102.307576495879</v>
      </c>
      <c r="Q14" s="6">
        <f t="shared" si="13"/>
        <v>1420.5908899315323</v>
      </c>
      <c r="R14" s="6">
        <f t="shared" si="14"/>
        <v>1420.5908899315323</v>
      </c>
      <c r="S14" s="6">
        <f t="shared" si="15"/>
        <v>0</v>
      </c>
    </row>
    <row r="15" spans="1:19" x14ac:dyDescent="0.3">
      <c r="E15" s="2">
        <v>13</v>
      </c>
      <c r="F15" s="6">
        <f t="shared" si="0"/>
        <v>3.25</v>
      </c>
      <c r="G15" s="6">
        <f t="shared" si="5"/>
        <v>8.2822139994625719</v>
      </c>
      <c r="H15" s="6">
        <f t="shared" si="6"/>
        <v>357.32520548868672</v>
      </c>
      <c r="I15" s="6">
        <f t="shared" si="7"/>
        <v>4.4182657150534705</v>
      </c>
      <c r="J15" s="6">
        <f t="shared" si="8"/>
        <v>942.67479451131339</v>
      </c>
      <c r="K15" s="6">
        <f t="shared" si="9"/>
        <v>5.9158671424732656</v>
      </c>
      <c r="L15" s="6">
        <f t="shared" si="10"/>
        <v>126.20527984917663</v>
      </c>
      <c r="M15" s="6">
        <f t="shared" si="3"/>
        <v>0.30147722482883049</v>
      </c>
      <c r="N15" s="6">
        <f t="shared" si="11"/>
        <v>2.3663468569893062</v>
      </c>
      <c r="O15" s="6">
        <f t="shared" si="12"/>
        <v>34.384510646164898</v>
      </c>
      <c r="P15" s="6">
        <f>SUM($G$2:G15)</f>
        <v>110.58979049534157</v>
      </c>
      <c r="Q15" s="6">
        <f t="shared" si="13"/>
        <v>1426.2052798491766</v>
      </c>
      <c r="R15" s="6">
        <f t="shared" si="14"/>
        <v>1426.2052798491766</v>
      </c>
      <c r="S15" s="6">
        <f t="shared" si="15"/>
        <v>0</v>
      </c>
    </row>
    <row r="16" spans="1:19" x14ac:dyDescent="0.3">
      <c r="E16" s="2">
        <v>14</v>
      </c>
      <c r="F16" s="6">
        <f t="shared" si="0"/>
        <v>3.5</v>
      </c>
      <c r="G16" s="6">
        <f t="shared" si="5"/>
        <v>8.2484044519739932</v>
      </c>
      <c r="H16" s="6">
        <f t="shared" si="6"/>
        <v>361.10704487205214</v>
      </c>
      <c r="I16" s="6">
        <f t="shared" si="7"/>
        <v>4.4665650686085838</v>
      </c>
      <c r="J16" s="6">
        <f t="shared" si="8"/>
        <v>938.89295512794797</v>
      </c>
      <c r="K16" s="6">
        <f t="shared" si="9"/>
        <v>5.8917174656957085</v>
      </c>
      <c r="L16" s="6">
        <f t="shared" si="10"/>
        <v>131.78148411524941</v>
      </c>
      <c r="M16" s="6">
        <f t="shared" si="3"/>
        <v>0.31551319962294161</v>
      </c>
      <c r="N16" s="6">
        <f t="shared" si="11"/>
        <v>2.3566869862782833</v>
      </c>
      <c r="O16" s="6">
        <f t="shared" si="12"/>
        <v>37.056710832066123</v>
      </c>
      <c r="P16" s="6">
        <f>SUM($G$2:G16)</f>
        <v>118.83819494731557</v>
      </c>
      <c r="Q16" s="6">
        <f t="shared" si="13"/>
        <v>1431.7814841152494</v>
      </c>
      <c r="R16" s="6">
        <f t="shared" si="14"/>
        <v>1431.7814841152494</v>
      </c>
      <c r="S16" s="6">
        <f t="shared" si="15"/>
        <v>0</v>
      </c>
    </row>
    <row r="17" spans="1:19" x14ac:dyDescent="0.3">
      <c r="E17" s="2">
        <v>15</v>
      </c>
      <c r="F17" s="6">
        <f t="shared" si="0"/>
        <v>3.75</v>
      </c>
      <c r="G17" s="6">
        <f t="shared" si="5"/>
        <v>8.2153133573695456</v>
      </c>
      <c r="H17" s="6">
        <f t="shared" si="6"/>
        <v>364.80852016852106</v>
      </c>
      <c r="I17" s="6">
        <f t="shared" si="7"/>
        <v>4.5138380609006514</v>
      </c>
      <c r="J17" s="6">
        <f t="shared" si="8"/>
        <v>935.19147983147911</v>
      </c>
      <c r="K17" s="6">
        <f t="shared" si="9"/>
        <v>5.8680809695496752</v>
      </c>
      <c r="L17" s="6">
        <f t="shared" si="10"/>
        <v>137.32011137451096</v>
      </c>
      <c r="M17" s="6">
        <f t="shared" si="3"/>
        <v>0.32945371028812354</v>
      </c>
      <c r="N17" s="6">
        <f t="shared" si="11"/>
        <v>2.34723238781987</v>
      </c>
      <c r="O17" s="6">
        <f t="shared" si="12"/>
        <v>39.733396930174116</v>
      </c>
      <c r="P17" s="6">
        <f>SUM($G$2:G17)</f>
        <v>127.05350830468512</v>
      </c>
      <c r="Q17" s="6">
        <f t="shared" si="13"/>
        <v>1437.320111374511</v>
      </c>
      <c r="R17" s="6">
        <f t="shared" si="14"/>
        <v>1437.3201113745113</v>
      </c>
      <c r="S17" s="6">
        <f t="shared" si="15"/>
        <v>0</v>
      </c>
    </row>
    <row r="18" spans="1:19" x14ac:dyDescent="0.3">
      <c r="E18" s="2">
        <v>16</v>
      </c>
      <c r="F18" s="6">
        <f t="shared" si="0"/>
        <v>4</v>
      </c>
      <c r="G18" s="6">
        <f t="shared" si="5"/>
        <v>8.1829254485254435</v>
      </c>
      <c r="H18" s="6">
        <f t="shared" si="6"/>
        <v>368.43133911493999</v>
      </c>
      <c r="I18" s="6">
        <f t="shared" si="7"/>
        <v>4.560106502106513</v>
      </c>
      <c r="J18" s="6">
        <f t="shared" si="8"/>
        <v>931.56866088506013</v>
      </c>
      <c r="K18" s="6">
        <f t="shared" si="9"/>
        <v>5.8449467489467448</v>
      </c>
      <c r="L18" s="6">
        <f t="shared" si="10"/>
        <v>142.82175784502144</v>
      </c>
      <c r="M18" s="6">
        <f t="shared" si="3"/>
        <v>0.34330027843627742</v>
      </c>
      <c r="N18" s="6">
        <f t="shared" si="11"/>
        <v>2.3379786995786977</v>
      </c>
      <c r="O18" s="6">
        <f t="shared" si="12"/>
        <v>42.414675908189089</v>
      </c>
      <c r="P18" s="6">
        <f>SUM($G$2:G18)</f>
        <v>135.23643375321058</v>
      </c>
      <c r="Q18" s="6">
        <f t="shared" si="13"/>
        <v>1442.8217578450215</v>
      </c>
      <c r="R18" s="6">
        <f t="shared" si="14"/>
        <v>1442.8217578450215</v>
      </c>
      <c r="S18" s="6">
        <f t="shared" si="15"/>
        <v>0</v>
      </c>
    </row>
    <row r="19" spans="1:19" x14ac:dyDescent="0.3">
      <c r="E19" s="2">
        <v>17</v>
      </c>
      <c r="F19" s="6">
        <f t="shared" si="0"/>
        <v>4.25</v>
      </c>
      <c r="G19" s="6">
        <f t="shared" si="5"/>
        <v>8.1512257827442767</v>
      </c>
      <c r="H19" s="6">
        <f t="shared" si="6"/>
        <v>371.97717315874752</v>
      </c>
      <c r="I19" s="6">
        <f t="shared" si="7"/>
        <v>4.60539173893675</v>
      </c>
      <c r="J19" s="6">
        <f t="shared" si="8"/>
        <v>928.02282684125259</v>
      </c>
      <c r="K19" s="6">
        <f t="shared" si="9"/>
        <v>5.8223041305316254</v>
      </c>
      <c r="L19" s="6">
        <f t="shared" si="10"/>
        <v>148.2870075809405</v>
      </c>
      <c r="M19" s="6">
        <f t="shared" si="3"/>
        <v>0.35705439461255362</v>
      </c>
      <c r="N19" s="6">
        <f t="shared" si="11"/>
        <v>2.3289216522126504</v>
      </c>
      <c r="O19" s="6">
        <f t="shared" si="12"/>
        <v>45.100651955014293</v>
      </c>
      <c r="P19" s="6">
        <f>SUM($G$2:G19)</f>
        <v>143.38765953595487</v>
      </c>
      <c r="Q19" s="6">
        <f t="shared" si="13"/>
        <v>1448.2870075809406</v>
      </c>
      <c r="R19" s="6">
        <f t="shared" si="14"/>
        <v>1448.2870075809406</v>
      </c>
      <c r="S19" s="6">
        <f t="shared" si="15"/>
        <v>0</v>
      </c>
    </row>
    <row r="20" spans="1:19" x14ac:dyDescent="0.3">
      <c r="E20" s="2">
        <v>18</v>
      </c>
      <c r="F20" s="6">
        <f t="shared" si="0"/>
        <v>4.5</v>
      </c>
      <c r="G20" s="6">
        <f t="shared" si="5"/>
        <v>8.1201997348609609</v>
      </c>
      <c r="H20" s="6">
        <f t="shared" si="6"/>
        <v>375.44765822912416</v>
      </c>
      <c r="I20" s="6">
        <f t="shared" si="7"/>
        <v>4.6497146644843443</v>
      </c>
      <c r="J20" s="6">
        <f t="shared" si="8"/>
        <v>924.55234177087596</v>
      </c>
      <c r="K20" s="6">
        <f t="shared" si="9"/>
        <v>5.8001426677578287</v>
      </c>
      <c r="L20" s="6">
        <f t="shared" si="10"/>
        <v>153.71643272974597</v>
      </c>
      <c r="M20" s="6">
        <f t="shared" si="3"/>
        <v>0.37071751895235122</v>
      </c>
      <c r="N20" s="6">
        <f t="shared" si="11"/>
        <v>2.3200570671031318</v>
      </c>
      <c r="O20" s="6">
        <f t="shared" si="12"/>
        <v>47.791426541069775</v>
      </c>
      <c r="P20" s="6">
        <f>SUM($G$2:G20)</f>
        <v>151.50785927081583</v>
      </c>
      <c r="Q20" s="6">
        <f t="shared" si="13"/>
        <v>1453.716432729746</v>
      </c>
      <c r="R20" s="6">
        <f t="shared" si="14"/>
        <v>1453.716432729746</v>
      </c>
      <c r="S20" s="6">
        <f t="shared" si="15"/>
        <v>0</v>
      </c>
    </row>
    <row r="21" spans="1:19" x14ac:dyDescent="0.3">
      <c r="E21" s="2">
        <v>19</v>
      </c>
      <c r="F21" s="6">
        <f t="shared" si="0"/>
        <v>4.75</v>
      </c>
      <c r="G21" s="6">
        <f t="shared" si="5"/>
        <v>8.0898329904951662</v>
      </c>
      <c r="H21" s="6">
        <f t="shared" si="6"/>
        <v>378.84439549175528</v>
      </c>
      <c r="I21" s="6">
        <f t="shared" si="7"/>
        <v>4.6930957278640522</v>
      </c>
      <c r="J21" s="6">
        <f t="shared" si="8"/>
        <v>921.15560450824489</v>
      </c>
      <c r="K21" s="6">
        <f t="shared" si="9"/>
        <v>5.7784521360679744</v>
      </c>
      <c r="L21" s="6">
        <f t="shared" si="10"/>
        <v>159.11059378398957</v>
      </c>
      <c r="M21" s="6">
        <f t="shared" si="3"/>
        <v>0.38429108182436494</v>
      </c>
      <c r="N21" s="6">
        <f t="shared" si="11"/>
        <v>2.3113808544271901</v>
      </c>
      <c r="O21" s="6">
        <f t="shared" si="12"/>
        <v>50.487098477321332</v>
      </c>
      <c r="P21" s="6">
        <f>SUM($G$2:G21)</f>
        <v>159.59769226131098</v>
      </c>
      <c r="Q21" s="6">
        <f t="shared" si="13"/>
        <v>1459.1105937839898</v>
      </c>
      <c r="R21" s="6">
        <f t="shared" si="14"/>
        <v>1459.1105937839898</v>
      </c>
      <c r="S21" s="6">
        <f t="shared" si="15"/>
        <v>0</v>
      </c>
    </row>
    <row r="22" spans="1:19" x14ac:dyDescent="0.3">
      <c r="E22" s="2">
        <v>20</v>
      </c>
      <c r="F22" s="6">
        <f t="shared" si="0"/>
        <v>5</v>
      </c>
      <c r="G22" s="6">
        <f t="shared" si="5"/>
        <v>8.0601115394471439</v>
      </c>
      <c r="H22" s="6">
        <f t="shared" si="6"/>
        <v>382.16895208755545</v>
      </c>
      <c r="I22" s="6">
        <f t="shared" si="7"/>
        <v>4.7355549436469406</v>
      </c>
      <c r="J22" s="6">
        <f t="shared" si="8"/>
        <v>917.83104791244466</v>
      </c>
      <c r="K22" s="6">
        <f t="shared" si="9"/>
        <v>5.7572225281765306</v>
      </c>
      <c r="L22" s="6">
        <f t="shared" si="10"/>
        <v>164.47003982770613</v>
      </c>
      <c r="M22" s="6">
        <f t="shared" si="3"/>
        <v>0.39777648445997393</v>
      </c>
      <c r="N22" s="6">
        <f t="shared" si="11"/>
        <v>2.3028890112706124</v>
      </c>
      <c r="O22" s="6">
        <f t="shared" si="12"/>
        <v>53.187763973051922</v>
      </c>
      <c r="P22" s="6">
        <f>SUM($G$2:G22)</f>
        <v>167.65780380075813</v>
      </c>
      <c r="Q22" s="6">
        <f t="shared" si="13"/>
        <v>1464.4700398277062</v>
      </c>
      <c r="R22" s="6">
        <f t="shared" si="14"/>
        <v>1464.4700398277062</v>
      </c>
      <c r="S22" s="6">
        <f t="shared" si="15"/>
        <v>0</v>
      </c>
    </row>
    <row r="23" spans="1:19" x14ac:dyDescent="0.3">
      <c r="E23" s="2">
        <v>21</v>
      </c>
      <c r="F23" s="6">
        <f t="shared" si="0"/>
        <v>5.25</v>
      </c>
      <c r="G23" s="6">
        <f t="shared" si="5"/>
        <v>8.0310216692338923</v>
      </c>
      <c r="H23" s="6">
        <f t="shared" si="6"/>
        <v>385.42286185569492</v>
      </c>
      <c r="I23" s="6">
        <f t="shared" si="7"/>
        <v>4.7771119010944432</v>
      </c>
      <c r="J23" s="6">
        <f t="shared" si="8"/>
        <v>914.57713814430531</v>
      </c>
      <c r="K23" s="6">
        <f t="shared" si="9"/>
        <v>5.7364440494527793</v>
      </c>
      <c r="L23" s="6">
        <f t="shared" si="10"/>
        <v>169.79530877758964</v>
      </c>
      <c r="M23" s="6">
        <f t="shared" si="3"/>
        <v>0.41117509956926535</v>
      </c>
      <c r="N23" s="6">
        <f t="shared" si="11"/>
        <v>2.2945776197811116</v>
      </c>
      <c r="O23" s="6">
        <f t="shared" si="12"/>
        <v>55.893516692402294</v>
      </c>
      <c r="P23" s="6">
        <f>SUM($G$2:G23)</f>
        <v>175.68882546999203</v>
      </c>
      <c r="Q23" s="6">
        <f t="shared" si="13"/>
        <v>1469.7953087775898</v>
      </c>
      <c r="R23" s="6">
        <f t="shared" si="14"/>
        <v>1469.79530877759</v>
      </c>
      <c r="S23" s="6">
        <f t="shared" si="15"/>
        <v>0</v>
      </c>
    </row>
    <row r="24" spans="1:19" x14ac:dyDescent="0.3">
      <c r="E24" s="2">
        <v>22</v>
      </c>
      <c r="F24" s="6">
        <f t="shared" si="0"/>
        <v>5.5</v>
      </c>
      <c r="G24" s="6">
        <f t="shared" si="5"/>
        <v>8.0025499587626729</v>
      </c>
      <c r="H24" s="6">
        <f t="shared" si="6"/>
        <v>388.60762604126143</v>
      </c>
      <c r="I24" s="6">
        <f t="shared" si="7"/>
        <v>4.8177857731961868</v>
      </c>
      <c r="J24" s="6">
        <f t="shared" si="8"/>
        <v>911.39237395873886</v>
      </c>
      <c r="K24" s="6">
        <f t="shared" si="9"/>
        <v>5.7161071134019084</v>
      </c>
      <c r="L24" s="6">
        <f t="shared" si="10"/>
        <v>175.08692761904757</v>
      </c>
      <c r="M24" s="6">
        <f t="shared" si="3"/>
        <v>0.42448827194397409</v>
      </c>
      <c r="N24" s="6">
        <f t="shared" si="11"/>
        <v>2.2864428453607633</v>
      </c>
      <c r="O24" s="6">
        <f t="shared" si="12"/>
        <v>58.604447809707025</v>
      </c>
      <c r="P24" s="6">
        <f>SUM($G$2:G24)</f>
        <v>183.6913754287547</v>
      </c>
      <c r="Q24" s="6">
        <f t="shared" si="13"/>
        <v>1475.0869276190479</v>
      </c>
      <c r="R24" s="6">
        <f t="shared" si="14"/>
        <v>1475.0869276190479</v>
      </c>
      <c r="S24" s="6">
        <f t="shared" si="15"/>
        <v>0</v>
      </c>
    </row>
    <row r="25" spans="1:19" x14ac:dyDescent="0.3">
      <c r="E25" s="2">
        <v>23</v>
      </c>
      <c r="F25" s="6">
        <f t="shared" si="0"/>
        <v>5.75</v>
      </c>
      <c r="G25" s="6">
        <f t="shared" si="5"/>
        <v>7.9746832721389653</v>
      </c>
      <c r="H25" s="6">
        <f t="shared" si="6"/>
        <v>391.72471398788463</v>
      </c>
      <c r="I25" s="6">
        <f t="shared" si="7"/>
        <v>4.857595325515768</v>
      </c>
      <c r="J25" s="6">
        <f t="shared" si="8"/>
        <v>908.27528601211566</v>
      </c>
      <c r="K25" s="6">
        <f t="shared" si="9"/>
        <v>5.6962023372421182</v>
      </c>
      <c r="L25" s="6">
        <f t="shared" si="10"/>
        <v>180.34541263724208</v>
      </c>
      <c r="M25" s="6">
        <f t="shared" si="3"/>
        <v>0.43771731904761896</v>
      </c>
      <c r="N25" s="6">
        <f t="shared" si="11"/>
        <v>2.2784809348968471</v>
      </c>
      <c r="O25" s="6">
        <f t="shared" si="12"/>
        <v>61.320646063651495</v>
      </c>
      <c r="P25" s="6">
        <f>SUM($G$2:G25)</f>
        <v>191.66605870089367</v>
      </c>
      <c r="Q25" s="6">
        <f t="shared" si="13"/>
        <v>1480.3454126372421</v>
      </c>
      <c r="R25" s="6">
        <f t="shared" si="14"/>
        <v>1480.3454126372424</v>
      </c>
      <c r="S25" s="6">
        <f t="shared" si="15"/>
        <v>0</v>
      </c>
    </row>
    <row r="26" spans="1:19" x14ac:dyDescent="0.3">
      <c r="E26" s="2">
        <v>24</v>
      </c>
      <c r="F26" s="6">
        <f t="shared" si="0"/>
        <v>6</v>
      </c>
      <c r="G26" s="6">
        <f t="shared" si="5"/>
        <v>7.9474087526060124</v>
      </c>
      <c r="H26" s="6">
        <f t="shared" si="6"/>
        <v>394.7755638156421</v>
      </c>
      <c r="I26" s="6">
        <f t="shared" si="7"/>
        <v>4.8965589248485575</v>
      </c>
      <c r="J26" s="6">
        <f t="shared" si="8"/>
        <v>905.22443618435818</v>
      </c>
      <c r="K26" s="6">
        <f t="shared" si="9"/>
        <v>5.676720537575723</v>
      </c>
      <c r="L26" s="6">
        <f t="shared" si="10"/>
        <v>185.5712696432247</v>
      </c>
      <c r="M26" s="6">
        <f t="shared" si="3"/>
        <v>0.45086353159310522</v>
      </c>
      <c r="N26" s="6">
        <f t="shared" si="11"/>
        <v>2.2706882150302894</v>
      </c>
      <c r="O26" s="6">
        <f t="shared" si="12"/>
        <v>64.042197810274885</v>
      </c>
      <c r="P26" s="6">
        <f>SUM($G$2:G26)</f>
        <v>199.61346745349968</v>
      </c>
      <c r="Q26" s="6">
        <f t="shared" si="13"/>
        <v>1485.5712696432247</v>
      </c>
      <c r="R26" s="6">
        <f t="shared" si="14"/>
        <v>1485.5712696432249</v>
      </c>
      <c r="S26" s="6">
        <f t="shared" si="15"/>
        <v>0</v>
      </c>
    </row>
    <row r="27" spans="1:19" x14ac:dyDescent="0.3">
      <c r="E27" s="2">
        <v>25</v>
      </c>
      <c r="F27" s="6">
        <f t="shared" si="0"/>
        <v>6.25</v>
      </c>
      <c r="G27" s="6">
        <f t="shared" si="5"/>
        <v>7.9207138166131346</v>
      </c>
      <c r="H27" s="6">
        <f t="shared" si="6"/>
        <v>397.76158308455973</v>
      </c>
      <c r="I27" s="6">
        <f t="shared" si="7"/>
        <v>4.9346945476955266</v>
      </c>
      <c r="J27" s="6">
        <f t="shared" si="8"/>
        <v>902.23841691544044</v>
      </c>
      <c r="K27" s="6">
        <f t="shared" si="9"/>
        <v>5.6576527261522385</v>
      </c>
      <c r="L27" s="6">
        <f t="shared" si="10"/>
        <v>190.76499419526888</v>
      </c>
      <c r="M27" s="6">
        <f t="shared" si="3"/>
        <v>0.46392817410806175</v>
      </c>
      <c r="N27" s="6">
        <f t="shared" si="11"/>
        <v>2.2630610904608957</v>
      </c>
      <c r="O27" s="6">
        <f t="shared" si="12"/>
        <v>66.769187074843842</v>
      </c>
      <c r="P27" s="6">
        <f>SUM($G$2:G27)</f>
        <v>207.53418127011281</v>
      </c>
      <c r="Q27" s="6">
        <f t="shared" si="13"/>
        <v>1490.7649941952691</v>
      </c>
      <c r="R27" s="6">
        <f t="shared" si="14"/>
        <v>1490.7649941952691</v>
      </c>
      <c r="S27" s="6">
        <f t="shared" si="15"/>
        <v>0</v>
      </c>
    </row>
    <row r="28" spans="1:19" x14ac:dyDescent="0.3">
      <c r="E28" s="2">
        <v>26</v>
      </c>
      <c r="F28" s="6">
        <f t="shared" si="0"/>
        <v>6.5</v>
      </c>
      <c r="G28" s="6">
        <f t="shared" si="5"/>
        <v>7.8945861480101049</v>
      </c>
      <c r="H28" s="6">
        <f t="shared" si="6"/>
        <v>400.68414944401286</v>
      </c>
      <c r="I28" s="6">
        <f t="shared" si="7"/>
        <v>4.972019788556997</v>
      </c>
      <c r="J28" s="6">
        <f t="shared" si="8"/>
        <v>899.31585055598725</v>
      </c>
      <c r="K28" s="6">
        <f t="shared" si="9"/>
        <v>5.6389901057215024</v>
      </c>
      <c r="L28" s="6">
        <f t="shared" si="10"/>
        <v>195.92707181550222</v>
      </c>
      <c r="M28" s="6">
        <f t="shared" si="3"/>
        <v>0.47691248548817222</v>
      </c>
      <c r="N28" s="6">
        <f t="shared" si="11"/>
        <v>2.2555960422886012</v>
      </c>
      <c r="O28" s="6">
        <f t="shared" si="12"/>
        <v>69.501695602620615</v>
      </c>
      <c r="P28" s="6">
        <f>SUM($G$2:G28)</f>
        <v>215.4287674181229</v>
      </c>
      <c r="Q28" s="6">
        <f t="shared" si="13"/>
        <v>1495.9270718155021</v>
      </c>
      <c r="R28" s="6">
        <f t="shared" si="14"/>
        <v>1495.9270718155021</v>
      </c>
      <c r="S28" s="6">
        <f t="shared" si="15"/>
        <v>0</v>
      </c>
    </row>
    <row r="29" spans="1:19" x14ac:dyDescent="0.3">
      <c r="A29" s="9"/>
      <c r="E29" s="2">
        <v>27</v>
      </c>
      <c r="F29" s="6">
        <f t="shared" si="0"/>
        <v>6.75</v>
      </c>
      <c r="G29" s="6">
        <f t="shared" si="5"/>
        <v>7.8690136923648888</v>
      </c>
      <c r="H29" s="6">
        <f t="shared" si="6"/>
        <v>403.54461126832757</v>
      </c>
      <c r="I29" s="6">
        <f t="shared" si="7"/>
        <v>5.0085518680501604</v>
      </c>
      <c r="J29" s="6">
        <f t="shared" si="8"/>
        <v>896.45538873167254</v>
      </c>
      <c r="K29" s="6">
        <f t="shared" si="9"/>
        <v>5.6207240659749207</v>
      </c>
      <c r="L29" s="6">
        <f t="shared" si="10"/>
        <v>201.05797820193837</v>
      </c>
      <c r="M29" s="6">
        <f t="shared" si="3"/>
        <v>0.48981767953875555</v>
      </c>
      <c r="N29" s="6">
        <f t="shared" si="11"/>
        <v>2.2482896263899681</v>
      </c>
      <c r="O29" s="6">
        <f t="shared" si="12"/>
        <v>72.239802908549336</v>
      </c>
      <c r="P29" s="6">
        <f>SUM($G$2:G29)</f>
        <v>223.29778111048779</v>
      </c>
      <c r="Q29" s="6">
        <f t="shared" si="13"/>
        <v>1501.0579782019386</v>
      </c>
      <c r="R29" s="6">
        <f t="shared" si="14"/>
        <v>1501.0579782019383</v>
      </c>
      <c r="S29" s="6">
        <f t="shared" si="15"/>
        <v>0</v>
      </c>
    </row>
    <row r="30" spans="1:19" x14ac:dyDescent="0.3">
      <c r="E30" s="2">
        <v>28</v>
      </c>
      <c r="F30" s="6">
        <f t="shared" si="0"/>
        <v>7</v>
      </c>
      <c r="G30" s="6">
        <f t="shared" si="5"/>
        <v>7.8439846514021356</v>
      </c>
      <c r="H30" s="6">
        <f t="shared" si="6"/>
        <v>406.34428827887564</v>
      </c>
      <c r="I30" s="6">
        <f t="shared" si="7"/>
        <v>5.044307640854095</v>
      </c>
      <c r="J30" s="6">
        <f t="shared" si="8"/>
        <v>893.65571172112448</v>
      </c>
      <c r="K30" s="6">
        <f t="shared" si="9"/>
        <v>5.6028461795729534</v>
      </c>
      <c r="L30" s="6">
        <f t="shared" si="10"/>
        <v>206.15817943600646</v>
      </c>
      <c r="M30" s="6">
        <f t="shared" si="3"/>
        <v>0.50264494550484595</v>
      </c>
      <c r="N30" s="6">
        <f t="shared" si="11"/>
        <v>2.2411384718291814</v>
      </c>
      <c r="O30" s="6">
        <f t="shared" si="12"/>
        <v>74.983586325883351</v>
      </c>
      <c r="P30" s="6">
        <f>SUM($G$2:G30)</f>
        <v>231.14176576188993</v>
      </c>
      <c r="Q30" s="6">
        <f t="shared" si="13"/>
        <v>1506.1581794360065</v>
      </c>
      <c r="R30" s="6">
        <f t="shared" si="14"/>
        <v>1506.1581794360065</v>
      </c>
      <c r="S30" s="6">
        <f t="shared" si="15"/>
        <v>0</v>
      </c>
    </row>
    <row r="31" spans="1:19" x14ac:dyDescent="0.3">
      <c r="E31" s="2">
        <v>29</v>
      </c>
      <c r="F31" s="6">
        <f t="shared" si="0"/>
        <v>7.25</v>
      </c>
      <c r="G31" s="6">
        <f t="shared" si="5"/>
        <v>7.8194874775598402</v>
      </c>
      <c r="H31" s="6">
        <f t="shared" si="6"/>
        <v>409.08447215294956</v>
      </c>
      <c r="I31" s="6">
        <f t="shared" si="7"/>
        <v>5.0793036034859451</v>
      </c>
      <c r="J31" s="6">
        <f t="shared" si="8"/>
        <v>890.91552784705061</v>
      </c>
      <c r="K31" s="6">
        <f t="shared" si="9"/>
        <v>5.5853481982570283</v>
      </c>
      <c r="L31" s="6">
        <f t="shared" si="10"/>
        <v>211.22813218567347</v>
      </c>
      <c r="M31" s="6">
        <f t="shared" si="3"/>
        <v>0.51539544859001618</v>
      </c>
      <c r="N31" s="6">
        <f t="shared" si="11"/>
        <v>2.2341392793028114</v>
      </c>
      <c r="O31" s="6">
        <f t="shared" si="12"/>
        <v>77.733121053776173</v>
      </c>
      <c r="P31" s="6">
        <f>SUM($G$2:G31)</f>
        <v>238.96125323944977</v>
      </c>
      <c r="Q31" s="6">
        <f t="shared" si="13"/>
        <v>1511.2281321856738</v>
      </c>
      <c r="R31" s="6">
        <f t="shared" si="14"/>
        <v>1511.2281321856738</v>
      </c>
      <c r="S31" s="6">
        <f t="shared" si="15"/>
        <v>0</v>
      </c>
    </row>
    <row r="32" spans="1:19" x14ac:dyDescent="0.3">
      <c r="E32" s="2">
        <v>30</v>
      </c>
      <c r="F32" s="6">
        <f t="shared" si="0"/>
        <v>7.5</v>
      </c>
      <c r="G32" s="6">
        <f t="shared" si="5"/>
        <v>7.7955108686616938</v>
      </c>
      <c r="H32" s="6">
        <f t="shared" si="6"/>
        <v>411.76642711969936</v>
      </c>
      <c r="I32" s="6">
        <f t="shared" si="7"/>
        <v>5.1135559019118695</v>
      </c>
      <c r="J32" s="6">
        <f t="shared" si="8"/>
        <v>888.23357288030093</v>
      </c>
      <c r="K32" s="6">
        <f t="shared" si="9"/>
        <v>5.5682220490440661</v>
      </c>
      <c r="L32" s="6">
        <f t="shared" si="10"/>
        <v>216.26828390425337</v>
      </c>
      <c r="M32" s="6">
        <f t="shared" si="3"/>
        <v>0.52807033046418372</v>
      </c>
      <c r="N32" s="6">
        <f t="shared" si="11"/>
        <v>2.2272888196176264</v>
      </c>
      <c r="O32" s="6">
        <f t="shared" si="12"/>
        <v>80.488480203857989</v>
      </c>
      <c r="P32" s="6">
        <f>SUM($G$2:G32)</f>
        <v>246.75676410811147</v>
      </c>
      <c r="Q32" s="6">
        <f t="shared" si="13"/>
        <v>1516.2682839042534</v>
      </c>
      <c r="R32" s="6">
        <f t="shared" si="14"/>
        <v>1516.2682839042536</v>
      </c>
      <c r="S32" s="6">
        <f t="shared" si="15"/>
        <v>0</v>
      </c>
    </row>
    <row r="33" spans="5:19" x14ac:dyDescent="0.3">
      <c r="E33" s="2">
        <v>31</v>
      </c>
      <c r="F33" s="6">
        <f t="shared" si="0"/>
        <v>7.75</v>
      </c>
      <c r="G33" s="6">
        <f t="shared" si="5"/>
        <v>7.7720437627026335</v>
      </c>
      <c r="H33" s="6">
        <f t="shared" si="6"/>
        <v>414.39139054340575</v>
      </c>
      <c r="I33" s="6">
        <f t="shared" si="7"/>
        <v>5.1470803389962416</v>
      </c>
      <c r="J33" s="6">
        <f t="shared" si="8"/>
        <v>885.60860945659454</v>
      </c>
      <c r="K33" s="6">
        <f t="shared" si="9"/>
        <v>5.551459830501881</v>
      </c>
      <c r="L33" s="6">
        <f t="shared" si="10"/>
        <v>221.2790730249946</v>
      </c>
      <c r="M33" s="6">
        <f t="shared" si="3"/>
        <v>0.54067070976063347</v>
      </c>
      <c r="N33" s="6">
        <f t="shared" si="11"/>
        <v>2.2205839322007526</v>
      </c>
      <c r="O33" s="6">
        <f t="shared" si="12"/>
        <v>83.249734845819376</v>
      </c>
      <c r="P33" s="6">
        <f>SUM($G$2:G33)</f>
        <v>254.52880787081409</v>
      </c>
      <c r="Q33" s="6">
        <f t="shared" si="13"/>
        <v>1521.2790730249947</v>
      </c>
      <c r="R33" s="6">
        <f t="shared" si="14"/>
        <v>1521.2790730249949</v>
      </c>
      <c r="S33" s="6">
        <f t="shared" si="15"/>
        <v>0</v>
      </c>
    </row>
    <row r="34" spans="5:19" x14ac:dyDescent="0.3">
      <c r="E34" s="2">
        <v>32</v>
      </c>
      <c r="F34" s="6">
        <f t="shared" si="0"/>
        <v>8</v>
      </c>
      <c r="G34" s="6">
        <f t="shared" si="5"/>
        <v>7.7490753327452033</v>
      </c>
      <c r="H34" s="6">
        <f t="shared" si="6"/>
        <v>416.96057349435836</v>
      </c>
      <c r="I34" s="6">
        <f t="shared" si="7"/>
        <v>5.1798923817925715</v>
      </c>
      <c r="J34" s="6">
        <f t="shared" si="8"/>
        <v>883.03942650564193</v>
      </c>
      <c r="K34" s="6">
        <f t="shared" si="9"/>
        <v>5.535053809103716</v>
      </c>
      <c r="L34" s="6">
        <f t="shared" si="10"/>
        <v>226.26092915153583</v>
      </c>
      <c r="M34" s="6">
        <f t="shared" si="3"/>
        <v>0.55319768256248647</v>
      </c>
      <c r="N34" s="6">
        <f t="shared" si="11"/>
        <v>2.2140215236414864</v>
      </c>
      <c r="O34" s="6">
        <f t="shared" si="12"/>
        <v>86.016954052023351</v>
      </c>
      <c r="P34" s="6">
        <f>SUM($G$2:G34)</f>
        <v>262.27788320355927</v>
      </c>
      <c r="Q34" s="6">
        <f t="shared" si="13"/>
        <v>1526.2609291515359</v>
      </c>
      <c r="R34" s="6">
        <f t="shared" si="14"/>
        <v>1526.2609291515359</v>
      </c>
      <c r="S34" s="6">
        <f t="shared" si="15"/>
        <v>0</v>
      </c>
    </row>
    <row r="35" spans="5:19" x14ac:dyDescent="0.3">
      <c r="E35" s="2">
        <v>33</v>
      </c>
      <c r="F35" s="6">
        <f t="shared" si="0"/>
        <v>8.25</v>
      </c>
      <c r="G35" s="6">
        <f t="shared" si="5"/>
        <v>7.726594981924368</v>
      </c>
      <c r="H35" s="6">
        <f t="shared" si="6"/>
        <v>419.47516130760323</v>
      </c>
      <c r="I35" s="6">
        <f t="shared" si="7"/>
        <v>5.2120071686794791</v>
      </c>
      <c r="J35" s="6">
        <f t="shared" si="8"/>
        <v>880.52483869239711</v>
      </c>
      <c r="K35" s="6">
        <f t="shared" si="9"/>
        <v>5.5189964156602622</v>
      </c>
      <c r="L35" s="6">
        <f t="shared" si="10"/>
        <v>231.21427324431727</v>
      </c>
      <c r="M35" s="6">
        <f t="shared" si="3"/>
        <v>0.5656523228788396</v>
      </c>
      <c r="N35" s="6">
        <f t="shared" si="11"/>
        <v>2.2075985662641049</v>
      </c>
      <c r="O35" s="6">
        <f t="shared" si="12"/>
        <v>88.790204941166294</v>
      </c>
      <c r="P35" s="6">
        <f>SUM($G$2:G35)</f>
        <v>270.00447818548366</v>
      </c>
      <c r="Q35" s="6">
        <f t="shared" si="13"/>
        <v>1531.2142732443172</v>
      </c>
      <c r="R35" s="6">
        <f t="shared" si="14"/>
        <v>1531.2142732443176</v>
      </c>
      <c r="S35" s="6">
        <f t="shared" si="15"/>
        <v>0</v>
      </c>
    </row>
    <row r="36" spans="5:19" x14ac:dyDescent="0.3">
      <c r="E36" s="2">
        <v>34</v>
      </c>
      <c r="F36" s="6">
        <f t="shared" si="0"/>
        <v>8.5</v>
      </c>
      <c r="G36" s="6">
        <f t="shared" si="5"/>
        <v>7.7045923385584754</v>
      </c>
      <c r="H36" s="6">
        <f t="shared" si="6"/>
        <v>421.93631412981665</v>
      </c>
      <c r="I36" s="6">
        <f t="shared" si="7"/>
        <v>5.24343951634504</v>
      </c>
      <c r="J36" s="6">
        <f t="shared" si="8"/>
        <v>878.06368587018358</v>
      </c>
      <c r="K36" s="6">
        <f t="shared" si="9"/>
        <v>5.5032802418274818</v>
      </c>
      <c r="L36" s="6">
        <f t="shared" si="10"/>
        <v>236.13951780303395</v>
      </c>
      <c r="M36" s="6">
        <f t="shared" si="3"/>
        <v>0.57803568311079323</v>
      </c>
      <c r="N36" s="6">
        <f t="shared" si="11"/>
        <v>2.2013120967309927</v>
      </c>
      <c r="O36" s="6">
        <f t="shared" si="12"/>
        <v>91.56955272100808</v>
      </c>
      <c r="P36" s="6">
        <f>SUM($G$2:G36)</f>
        <v>277.70907052404215</v>
      </c>
      <c r="Q36" s="6">
        <f t="shared" si="13"/>
        <v>1536.1395178030341</v>
      </c>
      <c r="R36" s="6">
        <f t="shared" si="14"/>
        <v>1536.1395178030341</v>
      </c>
      <c r="S36" s="6">
        <f t="shared" si="15"/>
        <v>0</v>
      </c>
    </row>
    <row r="37" spans="5:19" x14ac:dyDescent="0.3">
      <c r="E37" s="2">
        <v>35</v>
      </c>
      <c r="F37" s="6">
        <f t="shared" si="0"/>
        <v>8.75</v>
      </c>
      <c r="G37" s="6">
        <f t="shared" si="5"/>
        <v>7.6830572513641071</v>
      </c>
      <c r="H37" s="6">
        <f t="shared" si="6"/>
        <v>424.34516745455807</v>
      </c>
      <c r="I37" s="6">
        <f t="shared" si="7"/>
        <v>5.2742039266227083</v>
      </c>
      <c r="J37" s="6">
        <f t="shared" si="8"/>
        <v>875.65483254544222</v>
      </c>
      <c r="K37" s="6">
        <f t="shared" si="9"/>
        <v>5.4878980366886472</v>
      </c>
      <c r="L37" s="6">
        <f t="shared" si="10"/>
        <v>241.03706704521503</v>
      </c>
      <c r="M37" s="6">
        <f t="shared" si="3"/>
        <v>0.59034879450758493</v>
      </c>
      <c r="N37" s="6">
        <f t="shared" si="11"/>
        <v>2.195159214675459</v>
      </c>
      <c r="O37" s="6">
        <f t="shared" si="12"/>
        <v>94.355060730191127</v>
      </c>
      <c r="P37" s="6">
        <f>SUM($G$2:G37)</f>
        <v>285.39212777540627</v>
      </c>
      <c r="Q37" s="6">
        <f t="shared" si="13"/>
        <v>1541.0370670452151</v>
      </c>
      <c r="R37" s="6">
        <f t="shared" si="14"/>
        <v>1541.0370670452153</v>
      </c>
      <c r="S37" s="6">
        <f t="shared" si="15"/>
        <v>0</v>
      </c>
    </row>
    <row r="38" spans="5:19" x14ac:dyDescent="0.3">
      <c r="E38" s="2">
        <v>36</v>
      </c>
      <c r="F38" s="6">
        <f t="shared" si="0"/>
        <v>9</v>
      </c>
      <c r="G38" s="6">
        <f t="shared" si="5"/>
        <v>7.6619797847726199</v>
      </c>
      <c r="H38" s="6">
        <f t="shared" si="6"/>
        <v>426.70283264614869</v>
      </c>
      <c r="I38" s="6">
        <f t="shared" si="7"/>
        <v>5.3043145931819762</v>
      </c>
      <c r="J38" s="6">
        <f t="shared" si="8"/>
        <v>873.29716735385159</v>
      </c>
      <c r="K38" s="6">
        <f t="shared" si="9"/>
        <v>5.4728427034090137</v>
      </c>
      <c r="L38" s="6">
        <f t="shared" si="10"/>
        <v>245.907317081011</v>
      </c>
      <c r="M38" s="6">
        <f t="shared" si="3"/>
        <v>0.60259266761303754</v>
      </c>
      <c r="N38" s="6">
        <f t="shared" si="11"/>
        <v>2.1891370813636057</v>
      </c>
      <c r="O38" s="6">
        <f t="shared" si="12"/>
        <v>97.146790479167777</v>
      </c>
      <c r="P38" s="6">
        <f>SUM($G$2:G38)</f>
        <v>293.05410756017886</v>
      </c>
      <c r="Q38" s="6">
        <f t="shared" si="13"/>
        <v>1545.9073170810111</v>
      </c>
      <c r="R38" s="6">
        <f t="shared" si="14"/>
        <v>1545.9073170810111</v>
      </c>
      <c r="S38" s="6">
        <f t="shared" si="15"/>
        <v>0</v>
      </c>
    </row>
    <row r="39" spans="5:19" x14ac:dyDescent="0.3">
      <c r="E39" s="2">
        <v>37</v>
      </c>
      <c r="F39" s="6">
        <f t="shared" si="0"/>
        <v>9.25</v>
      </c>
      <c r="G39" s="6">
        <f t="shared" si="5"/>
        <v>7.6413502143462022</v>
      </c>
      <c r="H39" s="6">
        <f t="shared" si="6"/>
        <v>429.01039745241803</v>
      </c>
      <c r="I39" s="6">
        <f t="shared" si="7"/>
        <v>5.3337854080768583</v>
      </c>
      <c r="J39" s="6">
        <f t="shared" si="8"/>
        <v>870.98960254758231</v>
      </c>
      <c r="K39" s="6">
        <f t="shared" si="9"/>
        <v>5.4581072959615726</v>
      </c>
      <c r="L39" s="6">
        <f t="shared" si="10"/>
        <v>250.75065608427005</v>
      </c>
      <c r="M39" s="6">
        <f t="shared" si="3"/>
        <v>0.61476829270252753</v>
      </c>
      <c r="N39" s="6">
        <f t="shared" si="11"/>
        <v>2.1832429183846291</v>
      </c>
      <c r="O39" s="6">
        <f t="shared" si="12"/>
        <v>99.944801690254934</v>
      </c>
      <c r="P39" s="6">
        <f>SUM($G$2:G39)</f>
        <v>300.69545777452504</v>
      </c>
      <c r="Q39" s="6">
        <f t="shared" si="13"/>
        <v>1550.7506560842701</v>
      </c>
      <c r="R39" s="6">
        <f t="shared" si="14"/>
        <v>1550.7506560842705</v>
      </c>
      <c r="S39" s="6">
        <f t="shared" si="15"/>
        <v>0</v>
      </c>
    </row>
    <row r="40" spans="5:19" x14ac:dyDescent="0.3">
      <c r="E40" s="2">
        <v>38</v>
      </c>
      <c r="F40" s="6">
        <f t="shared" si="0"/>
        <v>9.5</v>
      </c>
      <c r="G40" s="6">
        <f t="shared" si="5"/>
        <v>7.6211590222913461</v>
      </c>
      <c r="H40" s="6">
        <f t="shared" si="6"/>
        <v>431.26892650655418</v>
      </c>
      <c r="I40" s="6">
        <f t="shared" si="7"/>
        <v>5.3626299681552254</v>
      </c>
      <c r="J40" s="6">
        <f t="shared" si="8"/>
        <v>868.73107349344627</v>
      </c>
      <c r="K40" s="6">
        <f t="shared" si="9"/>
        <v>5.4436850159223891</v>
      </c>
      <c r="L40" s="6">
        <f t="shared" si="10"/>
        <v>255.56746445998175</v>
      </c>
      <c r="M40" s="6">
        <f t="shared" si="3"/>
        <v>0.62687664021067513</v>
      </c>
      <c r="N40" s="6">
        <f t="shared" si="11"/>
        <v>2.1774740063689557</v>
      </c>
      <c r="O40" s="6">
        <f t="shared" si="12"/>
        <v>102.74915233683457</v>
      </c>
      <c r="P40" s="6">
        <f>SUM($G$2:G40)</f>
        <v>308.31661679681639</v>
      </c>
      <c r="Q40" s="6">
        <f t="shared" si="13"/>
        <v>1555.5674644599817</v>
      </c>
      <c r="R40" s="6">
        <f t="shared" si="14"/>
        <v>1555.5674644599821</v>
      </c>
      <c r="S40" s="6">
        <f t="shared" si="15"/>
        <v>0</v>
      </c>
    </row>
    <row r="41" spans="5:19" x14ac:dyDescent="0.3">
      <c r="E41" s="2">
        <v>39</v>
      </c>
      <c r="F41" s="6">
        <f t="shared" si="0"/>
        <v>9.75</v>
      </c>
      <c r="G41" s="6">
        <f t="shared" si="5"/>
        <v>7.6013968930676556</v>
      </c>
      <c r="H41" s="6">
        <f t="shared" si="6"/>
        <v>433.47946181828991</v>
      </c>
      <c r="I41" s="6">
        <f t="shared" si="7"/>
        <v>5.3908615813319276</v>
      </c>
      <c r="J41" s="6">
        <f t="shared" si="8"/>
        <v>866.52053818171055</v>
      </c>
      <c r="K41" s="6">
        <f t="shared" si="9"/>
        <v>5.4295692093340389</v>
      </c>
      <c r="L41" s="6">
        <f t="shared" si="10"/>
        <v>260.35811500816584</v>
      </c>
      <c r="M41" s="6">
        <f t="shared" si="3"/>
        <v>0.63891866114995444</v>
      </c>
      <c r="N41" s="6">
        <f t="shared" si="11"/>
        <v>2.1718276837336159</v>
      </c>
      <c r="O41" s="6">
        <f t="shared" si="12"/>
        <v>105.55989868171814</v>
      </c>
      <c r="P41" s="6">
        <f>SUM($G$2:G41)</f>
        <v>315.91801368988405</v>
      </c>
      <c r="Q41" s="6">
        <f t="shared" si="13"/>
        <v>1560.3581150081659</v>
      </c>
      <c r="R41" s="6">
        <f t="shared" si="14"/>
        <v>1560.3581150081664</v>
      </c>
      <c r="S41" s="6">
        <f t="shared" si="15"/>
        <v>0</v>
      </c>
    </row>
    <row r="42" spans="5:19" x14ac:dyDescent="0.3">
      <c r="E42" s="2">
        <v>40</v>
      </c>
      <c r="F42" s="6">
        <f t="shared" si="0"/>
        <v>10</v>
      </c>
      <c r="G42" s="6">
        <f t="shared" si="5"/>
        <v>7.5820547090899684</v>
      </c>
      <c r="H42" s="6">
        <f t="shared" si="6"/>
        <v>435.64302325465127</v>
      </c>
      <c r="I42" s="6">
        <f t="shared" si="7"/>
        <v>5.4184932727286235</v>
      </c>
      <c r="J42" s="6">
        <f t="shared" si="8"/>
        <v>864.35697674534924</v>
      </c>
      <c r="K42" s="6">
        <f t="shared" si="9"/>
        <v>5.4157533636356909</v>
      </c>
      <c r="L42" s="6">
        <f t="shared" si="10"/>
        <v>265.12297308428111</v>
      </c>
      <c r="M42" s="6">
        <f t="shared" si="3"/>
        <v>0.65089528752041459</v>
      </c>
      <c r="N42" s="6">
        <f t="shared" si="11"/>
        <v>2.1663013454542766</v>
      </c>
      <c r="O42" s="6">
        <f t="shared" si="12"/>
        <v>108.37709531469282</v>
      </c>
      <c r="P42" s="6">
        <f>SUM($G$2:G42)</f>
        <v>323.50006839897401</v>
      </c>
      <c r="Q42" s="6">
        <f t="shared" si="13"/>
        <v>1565.1229730842813</v>
      </c>
      <c r="R42" s="6">
        <f t="shared" si="14"/>
        <v>1565.1229730842815</v>
      </c>
      <c r="S42" s="6">
        <f t="shared" si="15"/>
        <v>0</v>
      </c>
    </row>
    <row r="43" spans="5:19" x14ac:dyDescent="0.3">
      <c r="E43" s="2">
        <v>41</v>
      </c>
      <c r="F43" s="6">
        <f t="shared" si="0"/>
        <v>10.25</v>
      </c>
      <c r="G43" s="6">
        <f t="shared" si="5"/>
        <v>7.5631235465218065</v>
      </c>
      <c r="H43" s="6">
        <f t="shared" si="6"/>
        <v>437.76060901048993</v>
      </c>
      <c r="I43" s="6">
        <f t="shared" si="7"/>
        <v>5.445537790683141</v>
      </c>
      <c r="J43" s="6">
        <f t="shared" si="8"/>
        <v>862.23939098951064</v>
      </c>
      <c r="K43" s="6">
        <f t="shared" si="9"/>
        <v>5.4022311046584326</v>
      </c>
      <c r="L43" s="6">
        <f t="shared" si="10"/>
        <v>269.86239675622886</v>
      </c>
      <c r="M43" s="6">
        <f t="shared" si="3"/>
        <v>0.66280743271070275</v>
      </c>
      <c r="N43" s="6">
        <f t="shared" si="11"/>
        <v>2.160892441863373</v>
      </c>
      <c r="O43" s="6">
        <f t="shared" si="12"/>
        <v>111.2007951892669</v>
      </c>
      <c r="P43" s="6">
        <f>SUM($G$2:G43)</f>
        <v>331.06319194549582</v>
      </c>
      <c r="Q43" s="6">
        <f t="shared" si="13"/>
        <v>1569.8623967562289</v>
      </c>
      <c r="R43" s="6">
        <f t="shared" si="14"/>
        <v>1569.8623967562294</v>
      </c>
      <c r="S43" s="6">
        <f t="shared" si="15"/>
        <v>0</v>
      </c>
    </row>
    <row r="44" spans="5:19" x14ac:dyDescent="0.3">
      <c r="E44" s="2">
        <v>42</v>
      </c>
      <c r="F44" s="6">
        <f t="shared" si="0"/>
        <v>10.5</v>
      </c>
      <c r="G44" s="6">
        <f t="shared" si="5"/>
        <v>7.5445946711582188</v>
      </c>
      <c r="H44" s="6">
        <f t="shared" si="6"/>
        <v>439.83319606901705</v>
      </c>
      <c r="I44" s="6">
        <f t="shared" si="7"/>
        <v>5.4720076126311241</v>
      </c>
      <c r="J44" s="6">
        <f t="shared" si="8"/>
        <v>860.16680393098363</v>
      </c>
      <c r="K44" s="6">
        <f t="shared" si="9"/>
        <v>5.3889961936844415</v>
      </c>
      <c r="L44" s="6">
        <f t="shared" si="10"/>
        <v>274.57673695802271</v>
      </c>
      <c r="M44" s="6">
        <f t="shared" si="3"/>
        <v>0.67465599189057213</v>
      </c>
      <c r="N44" s="6">
        <f t="shared" si="11"/>
        <v>2.1555984774737769</v>
      </c>
      <c r="O44" s="6">
        <f t="shared" si="12"/>
        <v>114.03104965863125</v>
      </c>
      <c r="P44" s="6">
        <f>SUM($G$2:G44)</f>
        <v>338.60778661665404</v>
      </c>
      <c r="Q44" s="6">
        <f t="shared" si="13"/>
        <v>1574.5767369580228</v>
      </c>
      <c r="R44" s="6">
        <f t="shared" si="14"/>
        <v>1574.5767369580235</v>
      </c>
      <c r="S44" s="6">
        <f t="shared" si="15"/>
        <v>0</v>
      </c>
    </row>
    <row r="45" spans="5:19" x14ac:dyDescent="0.3">
      <c r="E45" s="2">
        <v>43</v>
      </c>
      <c r="F45" s="6">
        <f t="shared" si="0"/>
        <v>10.75</v>
      </c>
      <c r="G45" s="6">
        <f t="shared" si="5"/>
        <v>7.5264595343961078</v>
      </c>
      <c r="H45" s="6">
        <f t="shared" si="6"/>
        <v>441.86174065255045</v>
      </c>
      <c r="I45" s="6">
        <f t="shared" si="7"/>
        <v>5.4979149508627128</v>
      </c>
      <c r="J45" s="6">
        <f t="shared" si="8"/>
        <v>858.13825934745023</v>
      </c>
      <c r="K45" s="6">
        <f t="shared" si="9"/>
        <v>5.3760425245686481</v>
      </c>
      <c r="L45" s="6">
        <f t="shared" si="10"/>
        <v>279.2663376401963</v>
      </c>
      <c r="M45" s="6">
        <f t="shared" si="3"/>
        <v>0.68644184239505679</v>
      </c>
      <c r="N45" s="6">
        <f t="shared" si="11"/>
        <v>2.1504170098274593</v>
      </c>
      <c r="O45" s="6">
        <f t="shared" si="12"/>
        <v>116.86790851085377</v>
      </c>
      <c r="P45" s="6">
        <f>SUM($G$2:G45)</f>
        <v>346.13424615105015</v>
      </c>
      <c r="Q45" s="6">
        <f t="shared" si="13"/>
        <v>1579.2663376401963</v>
      </c>
      <c r="R45" s="6">
        <f t="shared" si="14"/>
        <v>1579.266337640197</v>
      </c>
      <c r="S45" s="6">
        <f t="shared" si="15"/>
        <v>0</v>
      </c>
    </row>
    <row r="46" spans="5:19" x14ac:dyDescent="0.3">
      <c r="E46" s="2">
        <v>44</v>
      </c>
      <c r="F46" s="6">
        <f t="shared" si="0"/>
        <v>11</v>
      </c>
      <c r="G46" s="6">
        <f t="shared" si="5"/>
        <v>7.5087097692901903</v>
      </c>
      <c r="H46" s="6">
        <f t="shared" si="6"/>
        <v>443.84717866368374</v>
      </c>
      <c r="I46" s="6">
        <f t="shared" si="7"/>
        <v>5.5232717581568807</v>
      </c>
      <c r="J46" s="6">
        <f t="shared" si="8"/>
        <v>856.15282133631683</v>
      </c>
      <c r="K46" s="6">
        <f t="shared" si="9"/>
        <v>5.3633641209215641</v>
      </c>
      <c r="L46" s="6">
        <f t="shared" si="10"/>
        <v>283.93153591701736</v>
      </c>
      <c r="M46" s="6">
        <f t="shared" si="3"/>
        <v>0.69816584410049076</v>
      </c>
      <c r="N46" s="6">
        <f t="shared" si="11"/>
        <v>2.1453456483686257</v>
      </c>
      <c r="O46" s="6">
        <f t="shared" si="12"/>
        <v>119.71142000332289</v>
      </c>
      <c r="P46" s="6">
        <f>SUM($G$2:G46)</f>
        <v>353.64295592034034</v>
      </c>
      <c r="Q46" s="6">
        <f t="shared" si="13"/>
        <v>1583.9315359170173</v>
      </c>
      <c r="R46" s="6">
        <f t="shared" si="14"/>
        <v>1583.9315359170178</v>
      </c>
      <c r="S46" s="6">
        <f t="shared" si="15"/>
        <v>0</v>
      </c>
    </row>
    <row r="47" spans="5:19" x14ac:dyDescent="0.3">
      <c r="E47" s="2">
        <v>45</v>
      </c>
      <c r="F47" s="6">
        <f t="shared" si="0"/>
        <v>11.25</v>
      </c>
      <c r="G47" s="6">
        <f t="shared" si="5"/>
        <v>7.4913371866927729</v>
      </c>
      <c r="H47" s="6">
        <f t="shared" si="6"/>
        <v>445.79042611708047</v>
      </c>
      <c r="I47" s="6">
        <f t="shared" si="7"/>
        <v>5.548089733296047</v>
      </c>
      <c r="J47" s="6">
        <f t="shared" si="8"/>
        <v>854.20957388292015</v>
      </c>
      <c r="K47" s="6">
        <f t="shared" si="9"/>
        <v>5.35095513335198</v>
      </c>
      <c r="L47" s="6">
        <f t="shared" si="10"/>
        <v>288.57266221057677</v>
      </c>
      <c r="M47" s="6">
        <f t="shared" si="3"/>
        <v>0.70982883979254341</v>
      </c>
      <c r="N47" s="6">
        <f t="shared" si="11"/>
        <v>2.140382053340792</v>
      </c>
      <c r="O47" s="6">
        <f t="shared" si="12"/>
        <v>122.56163089645622</v>
      </c>
      <c r="P47" s="6">
        <f>SUM($G$2:G47)</f>
        <v>361.1342931070331</v>
      </c>
      <c r="Q47" s="6">
        <f t="shared" si="13"/>
        <v>1588.5726622105767</v>
      </c>
      <c r="R47" s="6">
        <f t="shared" si="14"/>
        <v>1588.5726622105774</v>
      </c>
      <c r="S47" s="6">
        <f t="shared" si="15"/>
        <v>0</v>
      </c>
    </row>
    <row r="48" spans="5:19" x14ac:dyDescent="0.3">
      <c r="E48" s="2">
        <v>46</v>
      </c>
      <c r="F48" s="6">
        <f t="shared" si="0"/>
        <v>11.5</v>
      </c>
      <c r="G48" s="6">
        <f t="shared" si="5"/>
        <v>7.4743337714755524</v>
      </c>
      <c r="H48" s="6">
        <f t="shared" si="6"/>
        <v>447.69237956209253</v>
      </c>
      <c r="I48" s="6">
        <f t="shared" si="7"/>
        <v>5.5723803264635059</v>
      </c>
      <c r="J48" s="6">
        <f t="shared" si="8"/>
        <v>852.3076204379081</v>
      </c>
      <c r="K48" s="6">
        <f t="shared" si="9"/>
        <v>5.3388098367682506</v>
      </c>
      <c r="L48" s="6">
        <f t="shared" si="10"/>
        <v>293.19004039181857</v>
      </c>
      <c r="M48" s="6">
        <f t="shared" si="3"/>
        <v>0.72143165552644195</v>
      </c>
      <c r="N48" s="6">
        <f t="shared" si="11"/>
        <v>2.1355239347073005</v>
      </c>
      <c r="O48" s="6">
        <f t="shared" si="12"/>
        <v>125.41858648668996</v>
      </c>
      <c r="P48" s="6">
        <f>SUM($G$2:G48)</f>
        <v>368.60862687850863</v>
      </c>
      <c r="Q48" s="6">
        <f t="shared" si="13"/>
        <v>1593.1900403918187</v>
      </c>
      <c r="R48" s="6">
        <f t="shared" si="14"/>
        <v>1593.1900403918194</v>
      </c>
      <c r="S48" s="6">
        <f t="shared" si="15"/>
        <v>0</v>
      </c>
    </row>
    <row r="49" spans="5:19" x14ac:dyDescent="0.3">
      <c r="E49" s="2">
        <v>47</v>
      </c>
      <c r="F49" s="6">
        <f t="shared" si="0"/>
        <v>11.75</v>
      </c>
      <c r="G49" s="6">
        <f t="shared" si="5"/>
        <v>7.4576916788316963</v>
      </c>
      <c r="H49" s="6">
        <f t="shared" si="6"/>
        <v>449.55391649639807</v>
      </c>
      <c r="I49" s="6">
        <f t="shared" si="7"/>
        <v>5.5961547445261566</v>
      </c>
      <c r="J49" s="6">
        <f t="shared" si="8"/>
        <v>850.44608350360261</v>
      </c>
      <c r="K49" s="6">
        <f t="shared" si="9"/>
        <v>5.3269226277369253</v>
      </c>
      <c r="L49" s="6">
        <f t="shared" si="10"/>
        <v>297.78398791857597</v>
      </c>
      <c r="M49" s="6">
        <f t="shared" si="3"/>
        <v>0.73297510097954643</v>
      </c>
      <c r="N49" s="6">
        <f t="shared" si="11"/>
        <v>2.1307690510947701</v>
      </c>
      <c r="O49" s="6">
        <f t="shared" si="12"/>
        <v>128.28233063876428</v>
      </c>
      <c r="P49" s="6">
        <f>SUM($G$2:G49)</f>
        <v>376.06631855734031</v>
      </c>
      <c r="Q49" s="6">
        <f t="shared" si="13"/>
        <v>1597.783987918576</v>
      </c>
      <c r="R49" s="6">
        <f t="shared" si="14"/>
        <v>1597.7839879185767</v>
      </c>
      <c r="S49" s="6">
        <f t="shared" si="15"/>
        <v>0</v>
      </c>
    </row>
    <row r="50" spans="5:19" x14ac:dyDescent="0.3">
      <c r="E50" s="2">
        <v>48</v>
      </c>
      <c r="F50" s="6">
        <f t="shared" si="0"/>
        <v>12</v>
      </c>
      <c r="G50" s="6">
        <f t="shared" si="5"/>
        <v>7.4414032306565234</v>
      </c>
      <c r="H50" s="6">
        <f t="shared" si="6"/>
        <v>451.37589577084964</v>
      </c>
      <c r="I50" s="6">
        <f t="shared" si="7"/>
        <v>5.6194239562049759</v>
      </c>
      <c r="J50" s="6">
        <f t="shared" si="8"/>
        <v>848.62410422915104</v>
      </c>
      <c r="K50" s="6">
        <f t="shared" si="9"/>
        <v>5.3152880218975165</v>
      </c>
      <c r="L50" s="6">
        <f t="shared" si="10"/>
        <v>302.35481597067707</v>
      </c>
      <c r="M50" s="6">
        <f t="shared" si="3"/>
        <v>0.74445996979643991</v>
      </c>
      <c r="N50" s="6">
        <f t="shared" si="11"/>
        <v>2.1261152087590065</v>
      </c>
      <c r="O50" s="6">
        <f t="shared" si="12"/>
        <v>131.15290581731975</v>
      </c>
      <c r="P50" s="6">
        <f>SUM($G$2:G50)</f>
        <v>383.50772178799684</v>
      </c>
      <c r="Q50" s="6">
        <f t="shared" si="13"/>
        <v>1602.354815970677</v>
      </c>
      <c r="R50" s="6">
        <f t="shared" si="14"/>
        <v>1602.3548159706777</v>
      </c>
      <c r="S50" s="6">
        <f t="shared" si="15"/>
        <v>0</v>
      </c>
    </row>
    <row r="51" spans="5:19" x14ac:dyDescent="0.3">
      <c r="E51" s="2">
        <v>49</v>
      </c>
      <c r="F51" s="6">
        <f t="shared" si="0"/>
        <v>12.25</v>
      </c>
      <c r="G51" s="6">
        <f t="shared" si="5"/>
        <v>7.4254609120050725</v>
      </c>
      <c r="H51" s="6">
        <f t="shared" si="6"/>
        <v>453.1591579857191</v>
      </c>
      <c r="I51" s="6">
        <f t="shared" si="7"/>
        <v>5.6421986971356208</v>
      </c>
      <c r="J51" s="6">
        <f t="shared" si="8"/>
        <v>846.84084201428163</v>
      </c>
      <c r="K51" s="6">
        <f t="shared" si="9"/>
        <v>5.303900651432194</v>
      </c>
      <c r="L51" s="6">
        <f t="shared" si="10"/>
        <v>306.90282958218256</v>
      </c>
      <c r="M51" s="6">
        <f t="shared" si="3"/>
        <v>0.75588703992669271</v>
      </c>
      <c r="N51" s="6">
        <f t="shared" si="11"/>
        <v>2.1215602605728776</v>
      </c>
      <c r="O51" s="6">
        <f t="shared" si="12"/>
        <v>134.03035311781935</v>
      </c>
      <c r="P51" s="6">
        <f>SUM($G$2:G51)</f>
        <v>390.93318270000191</v>
      </c>
      <c r="Q51" s="6">
        <f t="shared" si="13"/>
        <v>1606.9028295821827</v>
      </c>
      <c r="R51" s="6">
        <f t="shared" si="14"/>
        <v>1606.9028295821831</v>
      </c>
      <c r="S51" s="6">
        <f t="shared" si="15"/>
        <v>0</v>
      </c>
    </row>
    <row r="52" spans="5:19" x14ac:dyDescent="0.3">
      <c r="E52" s="2">
        <v>50</v>
      </c>
      <c r="F52" s="6">
        <f t="shared" si="0"/>
        <v>12.5</v>
      </c>
      <c r="G52" s="6">
        <f t="shared" si="5"/>
        <v>7.4098573676249648</v>
      </c>
      <c r="H52" s="6">
        <f t="shared" si="6"/>
        <v>454.90452587852258</v>
      </c>
      <c r="I52" s="6">
        <f t="shared" si="7"/>
        <v>5.6644894748214885</v>
      </c>
      <c r="J52" s="6">
        <f t="shared" si="8"/>
        <v>845.09547412147822</v>
      </c>
      <c r="K52" s="6">
        <f t="shared" si="9"/>
        <v>5.2927552625892602</v>
      </c>
      <c r="L52" s="6">
        <f t="shared" si="10"/>
        <v>311.42832777081634</v>
      </c>
      <c r="M52" s="6">
        <f t="shared" si="3"/>
        <v>0.76725707395545639</v>
      </c>
      <c r="N52" s="6">
        <f t="shared" si="11"/>
        <v>2.1171021050357042</v>
      </c>
      <c r="O52" s="6">
        <f t="shared" si="12"/>
        <v>136.91471229681051</v>
      </c>
      <c r="P52" s="6">
        <f>SUM($G$2:G52)</f>
        <v>398.34304006762687</v>
      </c>
      <c r="Q52" s="6">
        <f t="shared" si="13"/>
        <v>1611.4283277708164</v>
      </c>
      <c r="R52" s="6">
        <f t="shared" si="14"/>
        <v>1611.4283277708173</v>
      </c>
      <c r="S52" s="6">
        <f t="shared" si="15"/>
        <v>0</v>
      </c>
    </row>
    <row r="53" spans="5:19" x14ac:dyDescent="0.3">
      <c r="E53" s="2">
        <v>51</v>
      </c>
      <c r="F53" s="6">
        <f t="shared" si="0"/>
        <v>12.75</v>
      </c>
      <c r="G53" s="6">
        <f t="shared" si="5"/>
        <v>7.3945853985629348</v>
      </c>
      <c r="H53" s="6">
        <f t="shared" si="6"/>
        <v>456.61280470360396</v>
      </c>
      <c r="I53" s="6">
        <f t="shared" si="7"/>
        <v>5.6863065734815326</v>
      </c>
      <c r="J53" s="6">
        <f t="shared" si="8"/>
        <v>843.38719529639673</v>
      </c>
      <c r="K53" s="6">
        <f t="shared" si="9"/>
        <v>5.281846713259239</v>
      </c>
      <c r="L53" s="6">
        <f t="shared" si="10"/>
        <v>315.93160366464855</v>
      </c>
      <c r="M53" s="6">
        <f t="shared" si="3"/>
        <v>0.77857081942704087</v>
      </c>
      <c r="N53" s="6">
        <f t="shared" si="11"/>
        <v>2.1127386853036958</v>
      </c>
      <c r="O53" s="6">
        <f t="shared" si="12"/>
        <v>139.80602180154125</v>
      </c>
      <c r="P53" s="6">
        <f>SUM($G$2:G53)</f>
        <v>405.7376254661898</v>
      </c>
      <c r="Q53" s="6">
        <f t="shared" si="13"/>
        <v>1615.9316036646487</v>
      </c>
      <c r="R53" s="6">
        <f t="shared" si="14"/>
        <v>1615.9316036646492</v>
      </c>
      <c r="S53" s="6">
        <f t="shared" si="15"/>
        <v>0</v>
      </c>
    </row>
    <row r="54" spans="5:19" x14ac:dyDescent="0.3">
      <c r="E54" s="2">
        <v>52</v>
      </c>
      <c r="F54" s="6">
        <f t="shared" si="0"/>
        <v>13</v>
      </c>
      <c r="G54" s="6">
        <f t="shared" si="5"/>
        <v>7.379637958843472</v>
      </c>
      <c r="H54" s="6">
        <f t="shared" si="6"/>
        <v>458.28478260365239</v>
      </c>
      <c r="I54" s="6">
        <f t="shared" si="7"/>
        <v>5.7076600587950495</v>
      </c>
      <c r="J54" s="6">
        <f t="shared" si="8"/>
        <v>841.71521739634818</v>
      </c>
      <c r="K54" s="6">
        <f t="shared" si="9"/>
        <v>5.2711699706024797</v>
      </c>
      <c r="L54" s="6">
        <f t="shared" si="10"/>
        <v>320.41294462608943</v>
      </c>
      <c r="M54" s="6">
        <f t="shared" si="3"/>
        <v>0.78982900916162135</v>
      </c>
      <c r="N54" s="6">
        <f t="shared" si="11"/>
        <v>2.1084679882409918</v>
      </c>
      <c r="O54" s="6">
        <f t="shared" si="12"/>
        <v>142.70431879894386</v>
      </c>
      <c r="P54" s="6">
        <f>SUM($G$2:G54)</f>
        <v>413.11726342503329</v>
      </c>
      <c r="Q54" s="6">
        <f t="shared" si="13"/>
        <v>1620.4129446260895</v>
      </c>
      <c r="R54" s="6">
        <f t="shared" si="14"/>
        <v>1620.4129446260899</v>
      </c>
      <c r="S54" s="6">
        <f t="shared" si="15"/>
        <v>0</v>
      </c>
    </row>
    <row r="55" spans="5:19" x14ac:dyDescent="0.3">
      <c r="E55" s="2">
        <v>53</v>
      </c>
      <c r="F55" s="6">
        <f t="shared" si="0"/>
        <v>13.25</v>
      </c>
      <c r="G55" s="6">
        <f t="shared" si="5"/>
        <v>7.3650081522180475</v>
      </c>
      <c r="H55" s="6">
        <f t="shared" si="6"/>
        <v>459.92123097332478</v>
      </c>
      <c r="I55" s="6">
        <f t="shared" si="7"/>
        <v>5.7285597825456547</v>
      </c>
      <c r="J55" s="6">
        <f t="shared" si="8"/>
        <v>840.07876902667579</v>
      </c>
      <c r="K55" s="6">
        <f t="shared" si="9"/>
        <v>5.2607201087271758</v>
      </c>
      <c r="L55" s="6">
        <f t="shared" si="10"/>
        <v>324.87263237325141</v>
      </c>
      <c r="M55" s="6">
        <f t="shared" si="3"/>
        <v>0.80103236156522362</v>
      </c>
      <c r="N55" s="6">
        <f t="shared" si="11"/>
        <v>2.1042880434908704</v>
      </c>
      <c r="O55" s="6">
        <f t="shared" si="12"/>
        <v>145.60963920399996</v>
      </c>
      <c r="P55" s="6">
        <f>SUM($G$2:G55)</f>
        <v>420.48227157725131</v>
      </c>
      <c r="Q55" s="6">
        <f t="shared" si="13"/>
        <v>1624.8726323732515</v>
      </c>
      <c r="R55" s="6">
        <f t="shared" si="14"/>
        <v>1624.8726323732519</v>
      </c>
      <c r="S55" s="6">
        <f t="shared" si="15"/>
        <v>0</v>
      </c>
    </row>
    <row r="56" spans="5:19" x14ac:dyDescent="0.3">
      <c r="E56" s="2">
        <v>54</v>
      </c>
      <c r="F56" s="6">
        <f t="shared" si="0"/>
        <v>13.5</v>
      </c>
      <c r="G56" s="6">
        <f t="shared" si="5"/>
        <v>7.3506892289834136</v>
      </c>
      <c r="H56" s="6">
        <f t="shared" si="6"/>
        <v>461.52290481514166</v>
      </c>
      <c r="I56" s="6">
        <f t="shared" si="7"/>
        <v>5.7490153871665601</v>
      </c>
      <c r="J56" s="6">
        <f t="shared" si="8"/>
        <v>838.47709518485885</v>
      </c>
      <c r="K56" s="6">
        <f t="shared" si="9"/>
        <v>5.2504923064167235</v>
      </c>
      <c r="L56" s="6">
        <f t="shared" si="10"/>
        <v>329.31094309873498</v>
      </c>
      <c r="M56" s="6">
        <f t="shared" si="3"/>
        <v>0.81218158093312853</v>
      </c>
      <c r="N56" s="6">
        <f t="shared" si="11"/>
        <v>2.1001969225666897</v>
      </c>
      <c r="O56" s="6">
        <f t="shared" si="12"/>
        <v>148.52201770749977</v>
      </c>
      <c r="P56" s="6">
        <f>SUM($G$2:G56)</f>
        <v>427.83296080623472</v>
      </c>
      <c r="Q56" s="6">
        <f t="shared" si="13"/>
        <v>1629.3109430987349</v>
      </c>
      <c r="R56" s="6">
        <f t="shared" si="14"/>
        <v>1629.3109430987354</v>
      </c>
      <c r="S56" s="6">
        <f t="shared" si="15"/>
        <v>0</v>
      </c>
    </row>
    <row r="57" spans="5:19" x14ac:dyDescent="0.3">
      <c r="E57" s="2">
        <v>55</v>
      </c>
      <c r="F57" s="6">
        <f t="shared" si="0"/>
        <v>13.75</v>
      </c>
      <c r="G57" s="6">
        <f t="shared" si="5"/>
        <v>7.3366745828675155</v>
      </c>
      <c r="H57" s="6">
        <f t="shared" si="6"/>
        <v>463.09054308781992</v>
      </c>
      <c r="I57" s="6">
        <f t="shared" si="7"/>
        <v>5.7690363101892705</v>
      </c>
      <c r="J57" s="6">
        <f t="shared" si="8"/>
        <v>836.90945691218053</v>
      </c>
      <c r="K57" s="6">
        <f t="shared" si="9"/>
        <v>5.2404818449053678</v>
      </c>
      <c r="L57" s="6">
        <f t="shared" si="10"/>
        <v>333.72814758589351</v>
      </c>
      <c r="M57" s="6">
        <f t="shared" si="3"/>
        <v>0.82327735774683752</v>
      </c>
      <c r="N57" s="6">
        <f t="shared" si="11"/>
        <v>2.0961927379621472</v>
      </c>
      <c r="O57" s="6">
        <f t="shared" si="12"/>
        <v>151.44148780320876</v>
      </c>
      <c r="P57" s="6">
        <f>SUM($G$2:G57)</f>
        <v>435.16963538910221</v>
      </c>
      <c r="Q57" s="6">
        <f t="shared" si="13"/>
        <v>1633.7281475858936</v>
      </c>
      <c r="R57" s="6">
        <f t="shared" si="14"/>
        <v>1633.728147585894</v>
      </c>
      <c r="S57" s="6">
        <f t="shared" si="15"/>
        <v>0</v>
      </c>
    </row>
    <row r="58" spans="5:19" x14ac:dyDescent="0.3">
      <c r="E58" s="2">
        <v>56</v>
      </c>
      <c r="F58" s="6">
        <f t="shared" si="0"/>
        <v>14</v>
      </c>
      <c r="G58" s="6">
        <f t="shared" si="5"/>
        <v>7.3229577479815804</v>
      </c>
      <c r="H58" s="6">
        <f t="shared" si="6"/>
        <v>464.62486904720373</v>
      </c>
      <c r="I58" s="6">
        <f t="shared" si="7"/>
        <v>5.7886317885977494</v>
      </c>
      <c r="J58" s="6">
        <f t="shared" si="8"/>
        <v>835.37513095279667</v>
      </c>
      <c r="K58" s="6">
        <f t="shared" si="9"/>
        <v>5.230684105701128</v>
      </c>
      <c r="L58" s="6">
        <f t="shared" si="10"/>
        <v>338.12451132262993</v>
      </c>
      <c r="M58" s="6">
        <f t="shared" si="3"/>
        <v>0.83432036896473383</v>
      </c>
      <c r="N58" s="6">
        <f t="shared" si="11"/>
        <v>2.0922736422804515</v>
      </c>
      <c r="O58" s="6">
        <f t="shared" si="12"/>
        <v>154.36808181445394</v>
      </c>
      <c r="P58" s="6">
        <f>SUM($G$2:G58)</f>
        <v>442.49259313708382</v>
      </c>
      <c r="Q58" s="6">
        <f t="shared" si="13"/>
        <v>1638.1245113226298</v>
      </c>
      <c r="R58" s="6">
        <f t="shared" si="14"/>
        <v>1638.1245113226305</v>
      </c>
      <c r="S58" s="6">
        <f t="shared" si="15"/>
        <v>0</v>
      </c>
    </row>
    <row r="59" spans="5:19" x14ac:dyDescent="0.3">
      <c r="E59" s="2">
        <v>57</v>
      </c>
      <c r="F59" s="6">
        <f t="shared" si="0"/>
        <v>14.25</v>
      </c>
      <c r="G59" s="6">
        <f t="shared" si="5"/>
        <v>7.3095323958369711</v>
      </c>
      <c r="H59" s="6">
        <f t="shared" si="6"/>
        <v>466.12659057995063</v>
      </c>
      <c r="I59" s="6">
        <f t="shared" si="7"/>
        <v>5.8078108630900465</v>
      </c>
      <c r="J59" s="6">
        <f t="shared" si="8"/>
        <v>833.87340942004971</v>
      </c>
      <c r="K59" s="6">
        <f t="shared" si="9"/>
        <v>5.221094568454979</v>
      </c>
      <c r="L59" s="6">
        <f t="shared" si="10"/>
        <v>342.5002946127783</v>
      </c>
      <c r="M59" s="6">
        <f t="shared" si="3"/>
        <v>0.84531127830657482</v>
      </c>
      <c r="N59" s="6">
        <f t="shared" si="11"/>
        <v>2.0884378273819917</v>
      </c>
      <c r="O59" s="6">
        <f t="shared" si="12"/>
        <v>157.30183092014252</v>
      </c>
      <c r="P59" s="6">
        <f>SUM($G$2:G59)</f>
        <v>449.8021255329208</v>
      </c>
      <c r="Q59" s="6">
        <f t="shared" si="13"/>
        <v>1642.5002946127784</v>
      </c>
      <c r="R59" s="6">
        <f t="shared" si="14"/>
        <v>1642.5002946127788</v>
      </c>
      <c r="S59" s="6">
        <f t="shared" si="15"/>
        <v>0</v>
      </c>
    </row>
    <row r="60" spans="5:19" x14ac:dyDescent="0.3">
      <c r="E60" s="2">
        <v>58</v>
      </c>
      <c r="F60" s="6">
        <f t="shared" si="0"/>
        <v>14.5</v>
      </c>
      <c r="G60" s="6">
        <f t="shared" si="5"/>
        <v>7.2963923324254356</v>
      </c>
      <c r="H60" s="6">
        <f t="shared" si="6"/>
        <v>467.59640053012669</v>
      </c>
      <c r="I60" s="6">
        <f t="shared" si="7"/>
        <v>5.8265823822493825</v>
      </c>
      <c r="J60" s="6">
        <f t="shared" si="8"/>
        <v>832.40359946987371</v>
      </c>
      <c r="K60" s="6">
        <f t="shared" si="9"/>
        <v>5.2117088088753105</v>
      </c>
      <c r="L60" s="6">
        <f t="shared" si="10"/>
        <v>346.85575268512167</v>
      </c>
      <c r="M60" s="6">
        <f t="shared" si="3"/>
        <v>0.85625073653194583</v>
      </c>
      <c r="N60" s="6">
        <f t="shared" si="11"/>
        <v>2.0846835235501242</v>
      </c>
      <c r="O60" s="6">
        <f t="shared" si="12"/>
        <v>160.24276518022458</v>
      </c>
      <c r="P60" s="6">
        <f>SUM($G$2:G60)</f>
        <v>457.09851786534625</v>
      </c>
      <c r="Q60" s="6">
        <f t="shared" si="13"/>
        <v>1646.8557526851218</v>
      </c>
      <c r="R60" s="6">
        <f t="shared" si="14"/>
        <v>1646.8557526851221</v>
      </c>
      <c r="S60" s="6">
        <f t="shared" si="15"/>
        <v>0</v>
      </c>
    </row>
    <row r="61" spans="5:19" x14ac:dyDescent="0.3">
      <c r="E61" s="2">
        <v>59</v>
      </c>
      <c r="F61" s="6">
        <f t="shared" si="0"/>
        <v>14.75</v>
      </c>
      <c r="G61" s="6">
        <f t="shared" si="5"/>
        <v>7.2835314953613954</v>
      </c>
      <c r="H61" s="6">
        <f t="shared" si="6"/>
        <v>469.03497701886153</v>
      </c>
      <c r="I61" s="6">
        <f t="shared" si="7"/>
        <v>5.8449550066265834</v>
      </c>
      <c r="J61" s="6">
        <f t="shared" si="8"/>
        <v>830.96502298113899</v>
      </c>
      <c r="K61" s="6">
        <f t="shared" si="9"/>
        <v>5.2025224966867105</v>
      </c>
      <c r="L61" s="6">
        <f t="shared" si="10"/>
        <v>351.19113580009559</v>
      </c>
      <c r="M61" s="6">
        <f t="shared" si="3"/>
        <v>0.86713938171280425</v>
      </c>
      <c r="N61" s="6">
        <f t="shared" si="11"/>
        <v>2.0810089986746845</v>
      </c>
      <c r="O61" s="6">
        <f t="shared" si="12"/>
        <v>163.19091356061207</v>
      </c>
      <c r="P61" s="6">
        <f>SUM($G$2:G61)</f>
        <v>464.38204936070764</v>
      </c>
      <c r="Q61" s="6">
        <f t="shared" si="13"/>
        <v>1651.1911358000957</v>
      </c>
      <c r="R61" s="6">
        <f t="shared" si="14"/>
        <v>1651.1911358000962</v>
      </c>
      <c r="S61" s="6">
        <f t="shared" si="15"/>
        <v>0</v>
      </c>
    </row>
    <row r="62" spans="5:19" x14ac:dyDescent="0.3">
      <c r="E62" s="2">
        <v>60</v>
      </c>
      <c r="F62" s="6">
        <f t="shared" si="0"/>
        <v>15</v>
      </c>
      <c r="G62" s="6">
        <f t="shared" si="5"/>
        <v>7.2709439510849672</v>
      </c>
      <c r="H62" s="6">
        <f t="shared" si="6"/>
        <v>470.4429837572107</v>
      </c>
      <c r="I62" s="6">
        <f t="shared" si="7"/>
        <v>5.8629372127357691</v>
      </c>
      <c r="J62" s="6">
        <f t="shared" si="8"/>
        <v>829.55701624278981</v>
      </c>
      <c r="K62" s="6">
        <f t="shared" si="9"/>
        <v>5.193531393632119</v>
      </c>
      <c r="L62" s="6">
        <f t="shared" si="10"/>
        <v>355.50668935422749</v>
      </c>
      <c r="M62" s="6">
        <f t="shared" si="3"/>
        <v>0.877977839500239</v>
      </c>
      <c r="N62" s="6">
        <f t="shared" si="11"/>
        <v>2.0774125574528477</v>
      </c>
      <c r="O62" s="6">
        <f t="shared" si="12"/>
        <v>166.14630395756515</v>
      </c>
      <c r="P62" s="6">
        <f>SUM($G$2:G62)</f>
        <v>471.65299331179261</v>
      </c>
      <c r="Q62" s="6">
        <f t="shared" si="13"/>
        <v>1655.5066893542275</v>
      </c>
      <c r="R62" s="6">
        <f t="shared" si="14"/>
        <v>1655.506689354228</v>
      </c>
      <c r="S62" s="6">
        <f t="shared" si="15"/>
        <v>0</v>
      </c>
    </row>
    <row r="63" spans="5:19" x14ac:dyDescent="0.3">
      <c r="E63" s="2">
        <v>61</v>
      </c>
      <c r="F63" s="6">
        <f t="shared" si="0"/>
        <v>15.25</v>
      </c>
      <c r="G63" s="6">
        <f t="shared" si="5"/>
        <v>7.2586238921244117</v>
      </c>
      <c r="H63" s="6">
        <f t="shared" si="6"/>
        <v>471.82107035236999</v>
      </c>
      <c r="I63" s="6">
        <f t="shared" si="7"/>
        <v>5.8805372969651337</v>
      </c>
      <c r="J63" s="6">
        <f t="shared" si="8"/>
        <v>828.17892964763053</v>
      </c>
      <c r="K63" s="6">
        <f t="shared" si="9"/>
        <v>5.1847313515174367</v>
      </c>
      <c r="L63" s="6">
        <f t="shared" si="10"/>
        <v>359.80265398235935</v>
      </c>
      <c r="M63" s="6">
        <f t="shared" si="3"/>
        <v>0.88876672338556872</v>
      </c>
      <c r="N63" s="6">
        <f t="shared" si="11"/>
        <v>2.0738925406069746</v>
      </c>
      <c r="O63" s="6">
        <f t="shared" si="12"/>
        <v>169.1089632215577</v>
      </c>
      <c r="P63" s="6">
        <f>SUM($G$2:G63)</f>
        <v>478.91161720391705</v>
      </c>
      <c r="Q63" s="6">
        <f t="shared" si="13"/>
        <v>1659.8026539823595</v>
      </c>
      <c r="R63" s="6">
        <f t="shared" si="14"/>
        <v>1659.8026539823597</v>
      </c>
      <c r="S63" s="6">
        <f t="shared" si="15"/>
        <v>0</v>
      </c>
    </row>
    <row r="64" spans="5:19" x14ac:dyDescent="0.3">
      <c r="E64" s="2">
        <v>62</v>
      </c>
      <c r="F64" s="6">
        <f t="shared" si="0"/>
        <v>15.5</v>
      </c>
      <c r="G64" s="6">
        <f t="shared" si="5"/>
        <v>7.2465656344167675</v>
      </c>
      <c r="H64" s="6">
        <f t="shared" si="6"/>
        <v>473.1698726073821</v>
      </c>
      <c r="I64" s="6">
        <f t="shared" si="7"/>
        <v>5.8977633794046245</v>
      </c>
      <c r="J64" s="6">
        <f t="shared" si="8"/>
        <v>826.83012739261835</v>
      </c>
      <c r="K64" s="6">
        <f t="shared" si="9"/>
        <v>5.1761183102976904</v>
      </c>
      <c r="L64" s="6">
        <f t="shared" si="10"/>
        <v>364.07926565770111</v>
      </c>
      <c r="M64" s="6">
        <f t="shared" si="3"/>
        <v>0.89950663495589833</v>
      </c>
      <c r="N64" s="6">
        <f t="shared" si="11"/>
        <v>2.0704473241190762</v>
      </c>
      <c r="O64" s="6">
        <f t="shared" si="12"/>
        <v>172.07891718063269</v>
      </c>
      <c r="P64" s="6">
        <f>SUM($G$2:G64)</f>
        <v>486.1581828383338</v>
      </c>
      <c r="Q64" s="6">
        <f t="shared" si="13"/>
        <v>1664.0792656577009</v>
      </c>
      <c r="R64" s="6">
        <f t="shared" si="14"/>
        <v>1664.0792656577016</v>
      </c>
      <c r="S64" s="6">
        <f t="shared" si="15"/>
        <v>0</v>
      </c>
    </row>
    <row r="65" spans="5:19" x14ac:dyDescent="0.3">
      <c r="E65" s="2">
        <v>63</v>
      </c>
      <c r="F65" s="6">
        <f t="shared" si="0"/>
        <v>15.75</v>
      </c>
      <c r="G65" s="6">
        <f t="shared" si="5"/>
        <v>7.2347636146854111</v>
      </c>
      <c r="H65" s="6">
        <f t="shared" si="6"/>
        <v>474.49001281447522</v>
      </c>
      <c r="I65" s="6">
        <f t="shared" si="7"/>
        <v>5.9146234075922761</v>
      </c>
      <c r="J65" s="6">
        <f t="shared" si="8"/>
        <v>825.50998718552523</v>
      </c>
      <c r="K65" s="6">
        <f t="shared" si="9"/>
        <v>5.1676882962038651</v>
      </c>
      <c r="L65" s="6">
        <f t="shared" si="10"/>
        <v>368.33675578976073</v>
      </c>
      <c r="M65" s="6">
        <f t="shared" si="3"/>
        <v>0.91019816414425281</v>
      </c>
      <c r="N65" s="6">
        <f t="shared" si="11"/>
        <v>2.067075318481546</v>
      </c>
      <c r="O65" s="6">
        <f t="shared" si="12"/>
        <v>175.05619066325849</v>
      </c>
      <c r="P65" s="6">
        <f>SUM($G$2:G65)</f>
        <v>493.39294645301919</v>
      </c>
      <c r="Q65" s="6">
        <f t="shared" si="13"/>
        <v>1668.3367557897607</v>
      </c>
      <c r="R65" s="6">
        <f t="shared" si="14"/>
        <v>1668.3367557897611</v>
      </c>
      <c r="S65" s="6">
        <f t="shared" si="15"/>
        <v>0</v>
      </c>
    </row>
    <row r="66" spans="5:19" x14ac:dyDescent="0.3">
      <c r="E66" s="2">
        <v>64</v>
      </c>
      <c r="F66" s="6">
        <f t="shared" ref="F66:F129" si="16">E66*$B$2</f>
        <v>16</v>
      </c>
      <c r="G66" s="6">
        <f t="shared" si="5"/>
        <v>7.2232123878733461</v>
      </c>
      <c r="H66" s="6">
        <f t="shared" si="6"/>
        <v>475.7821000421676</v>
      </c>
      <c r="I66" s="6">
        <f t="shared" si="7"/>
        <v>5.9311251601809403</v>
      </c>
      <c r="J66" s="6">
        <f t="shared" si="8"/>
        <v>824.21789995783286</v>
      </c>
      <c r="K66" s="6">
        <f t="shared" si="9"/>
        <v>5.1594374199095325</v>
      </c>
      <c r="L66" s="6">
        <f t="shared" si="10"/>
        <v>372.57535132019586</v>
      </c>
      <c r="M66" s="6">
        <f t="shared" si="3"/>
        <v>0.92084188947440182</v>
      </c>
      <c r="N66" s="6">
        <f t="shared" si="11"/>
        <v>2.0637749679638131</v>
      </c>
      <c r="O66" s="6">
        <f t="shared" si="12"/>
        <v>178.04080752069669</v>
      </c>
      <c r="P66" s="6">
        <f>SUM($G$2:G66)</f>
        <v>500.61615884089252</v>
      </c>
      <c r="Q66" s="6">
        <f t="shared" si="13"/>
        <v>1672.5753513201958</v>
      </c>
      <c r="R66" s="6">
        <f t="shared" si="14"/>
        <v>1672.5753513201962</v>
      </c>
      <c r="S66" s="6">
        <f t="shared" si="15"/>
        <v>0</v>
      </c>
    </row>
    <row r="67" spans="5:19" x14ac:dyDescent="0.3">
      <c r="E67" s="2">
        <v>65</v>
      </c>
      <c r="F67" s="6">
        <f t="shared" si="16"/>
        <v>16.25</v>
      </c>
      <c r="G67" s="6">
        <f t="shared" si="5"/>
        <v>7.2119066246310384</v>
      </c>
      <c r="H67" s="6">
        <f t="shared" si="6"/>
        <v>477.04673041627154</v>
      </c>
      <c r="I67" s="6">
        <f t="shared" si="7"/>
        <v>5.9472762505270946</v>
      </c>
      <c r="J67" s="6">
        <f t="shared" si="8"/>
        <v>822.95326958372891</v>
      </c>
      <c r="K67" s="6">
        <f t="shared" si="9"/>
        <v>5.1513618747364553</v>
      </c>
      <c r="L67" s="6">
        <f t="shared" si="10"/>
        <v>376.79527481663183</v>
      </c>
      <c r="M67" s="6">
        <f t="shared" ref="M67:M130" si="17">L66*$B$8*$B$2</f>
        <v>0.9314383783004897</v>
      </c>
      <c r="N67" s="6">
        <f t="shared" si="11"/>
        <v>2.0605447498945821</v>
      </c>
      <c r="O67" s="6">
        <f t="shared" si="12"/>
        <v>181.03279064889176</v>
      </c>
      <c r="P67" s="6">
        <f>SUM($G$2:G67)</f>
        <v>507.82806546552354</v>
      </c>
      <c r="Q67" s="6">
        <f t="shared" si="13"/>
        <v>1676.7952748166319</v>
      </c>
      <c r="R67" s="6">
        <f t="shared" si="14"/>
        <v>1676.7952748166322</v>
      </c>
      <c r="S67" s="6">
        <f t="shared" si="15"/>
        <v>0</v>
      </c>
    </row>
    <row r="68" spans="5:19" x14ac:dyDescent="0.3">
      <c r="E68" s="2">
        <v>66</v>
      </c>
      <c r="F68" s="6">
        <f t="shared" si="16"/>
        <v>16.5</v>
      </c>
      <c r="G68" s="6">
        <f t="shared" ref="G68:G131" si="18">J67*$B$7*$B$2</f>
        <v>7.2008411088576283</v>
      </c>
      <c r="H68" s="6">
        <f t="shared" ref="H68:H131" si="19">H67+(G68-I68)</f>
        <v>478.2844873949258</v>
      </c>
      <c r="I68" s="6">
        <f t="shared" ref="I68:I131" si="20">H67*$B$2/$B$10</f>
        <v>5.9630841302033941</v>
      </c>
      <c r="J68" s="6">
        <f t="shared" ref="J68:J131" si="21">J67+I68-K68-N68</f>
        <v>821.71551260507465</v>
      </c>
      <c r="K68" s="6">
        <f t="shared" ref="K68:K131" si="22">J67*$B$2/$B$11</f>
        <v>5.143457934898306</v>
      </c>
      <c r="L68" s="6">
        <f t="shared" ref="L68:L131" si="23">L67+(K68-M68)</f>
        <v>380.99674456448855</v>
      </c>
      <c r="M68" s="6">
        <f t="shared" si="17"/>
        <v>0.94198818704157961</v>
      </c>
      <c r="N68" s="6">
        <f t="shared" ref="N68:N131" si="24">J67*$B$9*$B$2</f>
        <v>2.0573831739593222</v>
      </c>
      <c r="O68" s="6">
        <f t="shared" ref="O68:O131" si="25">O67+M68+N68</f>
        <v>184.03216200989266</v>
      </c>
      <c r="P68" s="6">
        <f>SUM($G$2:G68)</f>
        <v>515.02890657438115</v>
      </c>
      <c r="Q68" s="6">
        <f t="shared" ref="Q68:Q131" si="26">$B$3+P68-O68</f>
        <v>1680.9967445644884</v>
      </c>
      <c r="R68" s="6">
        <f t="shared" ref="R68:R131" si="27">H68+J68+L68</f>
        <v>1680.9967445644891</v>
      </c>
      <c r="S68" s="6">
        <f t="shared" ref="S68:S131" si="28">Q68-R68</f>
        <v>0</v>
      </c>
    </row>
    <row r="69" spans="5:19" x14ac:dyDescent="0.3">
      <c r="E69" s="2">
        <v>67</v>
      </c>
      <c r="F69" s="6">
        <f t="shared" si="16"/>
        <v>16.75</v>
      </c>
      <c r="G69" s="6">
        <f t="shared" si="18"/>
        <v>7.190010735294404</v>
      </c>
      <c r="H69" s="6">
        <f t="shared" si="19"/>
        <v>479.49594203778366</v>
      </c>
      <c r="I69" s="6">
        <f t="shared" si="20"/>
        <v>5.9785560924365724</v>
      </c>
      <c r="J69" s="6">
        <f t="shared" si="21"/>
        <v>820.50405796221673</v>
      </c>
      <c r="K69" s="6">
        <f t="shared" si="22"/>
        <v>5.1357219537817169</v>
      </c>
      <c r="L69" s="6">
        <f t="shared" si="23"/>
        <v>385.17997465685903</v>
      </c>
      <c r="M69" s="6">
        <f t="shared" si="17"/>
        <v>0.95249186141122144</v>
      </c>
      <c r="N69" s="6">
        <f t="shared" si="24"/>
        <v>2.0542887815126867</v>
      </c>
      <c r="O69" s="6">
        <f t="shared" si="25"/>
        <v>187.03894265281659</v>
      </c>
      <c r="P69" s="6">
        <f>SUM($G$2:G69)</f>
        <v>522.21891730967559</v>
      </c>
      <c r="Q69" s="6">
        <f t="shared" si="26"/>
        <v>1685.179974656859</v>
      </c>
      <c r="R69" s="6">
        <f t="shared" si="27"/>
        <v>1685.1799746568595</v>
      </c>
      <c r="S69" s="6">
        <f t="shared" si="28"/>
        <v>0</v>
      </c>
    </row>
    <row r="70" spans="5:19" x14ac:dyDescent="0.3">
      <c r="E70" s="2">
        <v>68</v>
      </c>
      <c r="F70" s="6">
        <f t="shared" si="16"/>
        <v>17</v>
      </c>
      <c r="G70" s="6">
        <f t="shared" si="18"/>
        <v>7.179410507169397</v>
      </c>
      <c r="H70" s="6">
        <f t="shared" si="19"/>
        <v>480.68165326948076</v>
      </c>
      <c r="I70" s="6">
        <f t="shared" si="20"/>
        <v>5.993699275472296</v>
      </c>
      <c r="J70" s="6">
        <f t="shared" si="21"/>
        <v>819.31834673051958</v>
      </c>
      <c r="K70" s="6">
        <f t="shared" si="22"/>
        <v>5.1281503622638542</v>
      </c>
      <c r="L70" s="6">
        <f t="shared" si="23"/>
        <v>389.34517508248075</v>
      </c>
      <c r="M70" s="6">
        <f t="shared" si="17"/>
        <v>0.96294993664214756</v>
      </c>
      <c r="N70" s="6">
        <f t="shared" si="24"/>
        <v>2.0512601449055419</v>
      </c>
      <c r="O70" s="6">
        <f t="shared" si="25"/>
        <v>190.05315273436429</v>
      </c>
      <c r="P70" s="6">
        <f>SUM($G$2:G70)</f>
        <v>529.39832781684504</v>
      </c>
      <c r="Q70" s="6">
        <f t="shared" si="26"/>
        <v>1689.3451750824806</v>
      </c>
      <c r="R70" s="6">
        <f t="shared" si="27"/>
        <v>1689.3451750824811</v>
      </c>
      <c r="S70" s="6">
        <f t="shared" si="28"/>
        <v>0</v>
      </c>
    </row>
    <row r="71" spans="5:19" x14ac:dyDescent="0.3">
      <c r="E71" s="2">
        <v>69</v>
      </c>
      <c r="F71" s="6">
        <f t="shared" si="16"/>
        <v>17.25</v>
      </c>
      <c r="G71" s="6">
        <f t="shared" si="18"/>
        <v>7.1690355338920471</v>
      </c>
      <c r="H71" s="6">
        <f t="shared" si="19"/>
        <v>481.8421681375043</v>
      </c>
      <c r="I71" s="6">
        <f t="shared" si="20"/>
        <v>6.0085206658685095</v>
      </c>
      <c r="J71" s="6">
        <f t="shared" si="21"/>
        <v>818.1578318624961</v>
      </c>
      <c r="K71" s="6">
        <f t="shared" si="22"/>
        <v>5.120739667065747</v>
      </c>
      <c r="L71" s="6">
        <f t="shared" si="23"/>
        <v>393.49255181184031</v>
      </c>
      <c r="M71" s="6">
        <f t="shared" si="17"/>
        <v>0.97336293770620186</v>
      </c>
      <c r="N71" s="6">
        <f t="shared" si="24"/>
        <v>2.0482958668262992</v>
      </c>
      <c r="O71" s="6">
        <f t="shared" si="25"/>
        <v>193.0748115388968</v>
      </c>
      <c r="P71" s="6">
        <f>SUM($G$2:G71)</f>
        <v>536.56736335073708</v>
      </c>
      <c r="Q71" s="6">
        <f t="shared" si="26"/>
        <v>1693.4925518118405</v>
      </c>
      <c r="R71" s="6">
        <f t="shared" si="27"/>
        <v>1693.4925518118407</v>
      </c>
      <c r="S71" s="6">
        <f t="shared" si="28"/>
        <v>0</v>
      </c>
    </row>
    <row r="72" spans="5:19" x14ac:dyDescent="0.3">
      <c r="E72" s="2">
        <v>70</v>
      </c>
      <c r="F72" s="6">
        <f t="shared" si="16"/>
        <v>17.5</v>
      </c>
      <c r="G72" s="6">
        <f t="shared" si="18"/>
        <v>7.1588810287968414</v>
      </c>
      <c r="H72" s="6">
        <f t="shared" si="19"/>
        <v>482.97802206458232</v>
      </c>
      <c r="I72" s="6">
        <f t="shared" si="20"/>
        <v>6.023027101718804</v>
      </c>
      <c r="J72" s="6">
        <f t="shared" si="21"/>
        <v>817.02197793541802</v>
      </c>
      <c r="K72" s="6">
        <f t="shared" si="22"/>
        <v>5.1134864491406002</v>
      </c>
      <c r="L72" s="6">
        <f t="shared" si="23"/>
        <v>397.62230688145132</v>
      </c>
      <c r="M72" s="6">
        <f t="shared" si="17"/>
        <v>0.98373137952960077</v>
      </c>
      <c r="N72" s="6">
        <f t="shared" si="24"/>
        <v>2.0453945796562403</v>
      </c>
      <c r="O72" s="6">
        <f t="shared" si="25"/>
        <v>196.10393749808262</v>
      </c>
      <c r="P72" s="6">
        <f>SUM($G$2:G72)</f>
        <v>543.72624437953391</v>
      </c>
      <c r="Q72" s="6">
        <f t="shared" si="26"/>
        <v>1697.6223068814513</v>
      </c>
      <c r="R72" s="6">
        <f t="shared" si="27"/>
        <v>1697.6223068814518</v>
      </c>
      <c r="S72" s="6">
        <f t="shared" si="28"/>
        <v>0</v>
      </c>
    </row>
    <row r="73" spans="5:19" x14ac:dyDescent="0.3">
      <c r="E73" s="2">
        <v>71</v>
      </c>
      <c r="F73" s="6">
        <f t="shared" si="16"/>
        <v>17.75</v>
      </c>
      <c r="G73" s="6">
        <f t="shared" si="18"/>
        <v>7.1489423069349085</v>
      </c>
      <c r="H73" s="6">
        <f t="shared" si="19"/>
        <v>484.08973909570994</v>
      </c>
      <c r="I73" s="6">
        <f t="shared" si="20"/>
        <v>6.0372252758072786</v>
      </c>
      <c r="J73" s="6">
        <f t="shared" si="21"/>
        <v>815.91026090429034</v>
      </c>
      <c r="K73" s="6">
        <f t="shared" si="22"/>
        <v>5.1063873620963625</v>
      </c>
      <c r="L73" s="6">
        <f t="shared" si="23"/>
        <v>401.73463847634406</v>
      </c>
      <c r="M73" s="6">
        <f t="shared" si="17"/>
        <v>0.99405576720362832</v>
      </c>
      <c r="N73" s="6">
        <f t="shared" si="24"/>
        <v>2.0425549448385452</v>
      </c>
      <c r="O73" s="6">
        <f t="shared" si="25"/>
        <v>199.14054821012479</v>
      </c>
      <c r="P73" s="6">
        <f>SUM($G$2:G73)</f>
        <v>550.87518668646885</v>
      </c>
      <c r="Q73" s="6">
        <f t="shared" si="26"/>
        <v>1701.7346384763441</v>
      </c>
      <c r="R73" s="6">
        <f t="shared" si="27"/>
        <v>1701.7346384763443</v>
      </c>
      <c r="S73" s="6">
        <f t="shared" si="28"/>
        <v>0</v>
      </c>
    </row>
    <row r="74" spans="5:19" x14ac:dyDescent="0.3">
      <c r="E74" s="2">
        <v>72</v>
      </c>
      <c r="F74" s="6">
        <f t="shared" si="16"/>
        <v>18</v>
      </c>
      <c r="G74" s="6">
        <f t="shared" si="18"/>
        <v>7.139214782912541</v>
      </c>
      <c r="H74" s="6">
        <f t="shared" si="19"/>
        <v>485.17783213992612</v>
      </c>
      <c r="I74" s="6">
        <f t="shared" si="20"/>
        <v>6.0511217386963745</v>
      </c>
      <c r="J74" s="6">
        <f t="shared" si="21"/>
        <v>814.82216786007416</v>
      </c>
      <c r="K74" s="6">
        <f t="shared" si="22"/>
        <v>5.099439130651815</v>
      </c>
      <c r="L74" s="6">
        <f t="shared" si="23"/>
        <v>405.82974101080504</v>
      </c>
      <c r="M74" s="6">
        <f t="shared" si="17"/>
        <v>1.0043365961908601</v>
      </c>
      <c r="N74" s="6">
        <f t="shared" si="24"/>
        <v>2.039775652260726</v>
      </c>
      <c r="O74" s="6">
        <f t="shared" si="25"/>
        <v>202.18466045857636</v>
      </c>
      <c r="P74" s="6">
        <f>SUM($G$2:G74)</f>
        <v>558.01440146938137</v>
      </c>
      <c r="Q74" s="6">
        <f t="shared" si="26"/>
        <v>1705.829741010805</v>
      </c>
      <c r="R74" s="6">
        <f t="shared" si="27"/>
        <v>1705.8297410108053</v>
      </c>
      <c r="S74" s="6">
        <f t="shared" si="28"/>
        <v>0</v>
      </c>
    </row>
    <row r="75" spans="5:19" x14ac:dyDescent="0.3">
      <c r="E75" s="2">
        <v>73</v>
      </c>
      <c r="F75" s="6">
        <f t="shared" si="16"/>
        <v>18.25</v>
      </c>
      <c r="G75" s="6">
        <f t="shared" si="18"/>
        <v>7.1296939687756495</v>
      </c>
      <c r="H75" s="6">
        <f t="shared" si="19"/>
        <v>486.24280320695271</v>
      </c>
      <c r="I75" s="6">
        <f t="shared" si="20"/>
        <v>6.0647229017490769</v>
      </c>
      <c r="J75" s="6">
        <f t="shared" si="21"/>
        <v>813.75719679304757</v>
      </c>
      <c r="K75" s="6">
        <f t="shared" si="22"/>
        <v>5.0926385491254633</v>
      </c>
      <c r="L75" s="6">
        <f t="shared" si="23"/>
        <v>409.9078052074035</v>
      </c>
      <c r="M75" s="6">
        <f t="shared" si="17"/>
        <v>1.0145743525270126</v>
      </c>
      <c r="N75" s="6">
        <f t="shared" si="24"/>
        <v>2.0370554196501853</v>
      </c>
      <c r="O75" s="6">
        <f t="shared" si="25"/>
        <v>205.23629023075355</v>
      </c>
      <c r="P75" s="6">
        <f>SUM($G$2:G75)</f>
        <v>565.14409543815702</v>
      </c>
      <c r="Q75" s="6">
        <f t="shared" si="26"/>
        <v>1709.9078052074033</v>
      </c>
      <c r="R75" s="6">
        <f t="shared" si="27"/>
        <v>1709.9078052074037</v>
      </c>
      <c r="S75" s="6">
        <f t="shared" si="28"/>
        <v>0</v>
      </c>
    </row>
    <row r="76" spans="5:19" x14ac:dyDescent="0.3">
      <c r="E76" s="2">
        <v>74</v>
      </c>
      <c r="F76" s="6">
        <f t="shared" si="16"/>
        <v>18.5</v>
      </c>
      <c r="G76" s="6">
        <f t="shared" si="18"/>
        <v>7.120375471939167</v>
      </c>
      <c r="H76" s="6">
        <f t="shared" si="19"/>
        <v>487.28514363880498</v>
      </c>
      <c r="I76" s="6">
        <f t="shared" si="20"/>
        <v>6.0780350400869088</v>
      </c>
      <c r="J76" s="6">
        <f t="shared" si="21"/>
        <v>812.7148563611953</v>
      </c>
      <c r="K76" s="6">
        <f t="shared" si="22"/>
        <v>5.085982479956547</v>
      </c>
      <c r="L76" s="6">
        <f t="shared" si="23"/>
        <v>413.96901817434156</v>
      </c>
      <c r="M76" s="6">
        <f t="shared" si="17"/>
        <v>1.0247695130185088</v>
      </c>
      <c r="N76" s="6">
        <f t="shared" si="24"/>
        <v>2.0343929919826191</v>
      </c>
      <c r="O76" s="6">
        <f t="shared" si="25"/>
        <v>208.29545273575468</v>
      </c>
      <c r="P76" s="6">
        <f>SUM($G$2:G76)</f>
        <v>572.26447091009618</v>
      </c>
      <c r="Q76" s="6">
        <f t="shared" si="26"/>
        <v>1713.9690181743415</v>
      </c>
      <c r="R76" s="6">
        <f t="shared" si="27"/>
        <v>1713.9690181743417</v>
      </c>
      <c r="S76" s="6">
        <f t="shared" si="28"/>
        <v>0</v>
      </c>
    </row>
    <row r="77" spans="5:19" x14ac:dyDescent="0.3">
      <c r="E77" s="2">
        <v>75</v>
      </c>
      <c r="F77" s="6">
        <f t="shared" si="16"/>
        <v>18.75</v>
      </c>
      <c r="G77" s="6">
        <f t="shared" si="18"/>
        <v>7.1112549931604594</v>
      </c>
      <c r="H77" s="6">
        <f t="shared" si="19"/>
        <v>488.30533433648037</v>
      </c>
      <c r="I77" s="6">
        <f t="shared" si="20"/>
        <v>6.0910642954850625</v>
      </c>
      <c r="J77" s="6">
        <f t="shared" si="21"/>
        <v>811.6946656635198</v>
      </c>
      <c r="K77" s="6">
        <f t="shared" si="22"/>
        <v>5.079467852257471</v>
      </c>
      <c r="L77" s="6">
        <f t="shared" si="23"/>
        <v>418.01356348116315</v>
      </c>
      <c r="M77" s="6">
        <f t="shared" si="17"/>
        <v>1.0349225454358539</v>
      </c>
      <c r="N77" s="6">
        <f t="shared" si="24"/>
        <v>2.0317871409029884</v>
      </c>
      <c r="O77" s="6">
        <f t="shared" si="25"/>
        <v>211.36216242209352</v>
      </c>
      <c r="P77" s="6">
        <f>SUM($G$2:G77)</f>
        <v>579.37572590325669</v>
      </c>
      <c r="Q77" s="6">
        <f t="shared" si="26"/>
        <v>1718.0135634811634</v>
      </c>
      <c r="R77" s="6">
        <f t="shared" si="27"/>
        <v>1718.0135634811634</v>
      </c>
      <c r="S77" s="6">
        <f t="shared" si="28"/>
        <v>0</v>
      </c>
    </row>
    <row r="78" spans="5:19" x14ac:dyDescent="0.3">
      <c r="E78" s="2">
        <v>76</v>
      </c>
      <c r="F78" s="6">
        <f t="shared" si="16"/>
        <v>19</v>
      </c>
      <c r="G78" s="6">
        <f t="shared" si="18"/>
        <v>7.1023283245557991</v>
      </c>
      <c r="H78" s="6">
        <f t="shared" si="19"/>
        <v>489.30384598183019</v>
      </c>
      <c r="I78" s="6">
        <f t="shared" si="20"/>
        <v>6.1038166792060045</v>
      </c>
      <c r="J78" s="6">
        <f t="shared" si="21"/>
        <v>810.69615401816998</v>
      </c>
      <c r="K78" s="6">
        <f t="shared" si="22"/>
        <v>5.0730916603969991</v>
      </c>
      <c r="L78" s="6">
        <f t="shared" si="23"/>
        <v>422.04162123285721</v>
      </c>
      <c r="M78" s="6">
        <f t="shared" si="17"/>
        <v>1.0450339087029079</v>
      </c>
      <c r="N78" s="6">
        <f t="shared" si="24"/>
        <v>2.0292366641587996</v>
      </c>
      <c r="O78" s="6">
        <f t="shared" si="25"/>
        <v>214.43643299495523</v>
      </c>
      <c r="P78" s="6">
        <f>SUM($G$2:G78)</f>
        <v>586.47805422781244</v>
      </c>
      <c r="Q78" s="6">
        <f t="shared" si="26"/>
        <v>1722.0416212328573</v>
      </c>
      <c r="R78" s="6">
        <f t="shared" si="27"/>
        <v>1722.0416212328573</v>
      </c>
      <c r="S78" s="6">
        <f t="shared" si="28"/>
        <v>0</v>
      </c>
    </row>
    <row r="79" spans="5:19" x14ac:dyDescent="0.3">
      <c r="E79" s="2">
        <v>77</v>
      </c>
      <c r="F79" s="6">
        <f t="shared" si="16"/>
        <v>19.25</v>
      </c>
      <c r="G79" s="6">
        <f t="shared" si="18"/>
        <v>7.0935913476589878</v>
      </c>
      <c r="H79" s="6">
        <f t="shared" si="19"/>
        <v>490.28113925471632</v>
      </c>
      <c r="I79" s="6">
        <f t="shared" si="20"/>
        <v>6.1162980747728772</v>
      </c>
      <c r="J79" s="6">
        <f t="shared" si="21"/>
        <v>809.71886074528391</v>
      </c>
      <c r="K79" s="6">
        <f t="shared" si="22"/>
        <v>5.0668509626135627</v>
      </c>
      <c r="L79" s="6">
        <f t="shared" si="23"/>
        <v>426.05336814238865</v>
      </c>
      <c r="M79" s="6">
        <f t="shared" si="17"/>
        <v>1.0551040530821429</v>
      </c>
      <c r="N79" s="6">
        <f t="shared" si="24"/>
        <v>2.0267403850454251</v>
      </c>
      <c r="O79" s="6">
        <f t="shared" si="25"/>
        <v>217.5182774330828</v>
      </c>
      <c r="P79" s="6">
        <f>SUM($G$2:G79)</f>
        <v>593.57164557547139</v>
      </c>
      <c r="Q79" s="6">
        <f t="shared" si="26"/>
        <v>1726.0533681423885</v>
      </c>
      <c r="R79" s="6">
        <f t="shared" si="27"/>
        <v>1726.053368142389</v>
      </c>
      <c r="S79" s="6">
        <f t="shared" si="28"/>
        <v>0</v>
      </c>
    </row>
    <row r="80" spans="5:19" x14ac:dyDescent="0.3">
      <c r="E80" s="2">
        <v>78</v>
      </c>
      <c r="F80" s="6">
        <f t="shared" si="16"/>
        <v>19.5</v>
      </c>
      <c r="G80" s="6">
        <f t="shared" si="18"/>
        <v>7.0850400315212347</v>
      </c>
      <c r="H80" s="6">
        <f t="shared" si="19"/>
        <v>491.23766504555363</v>
      </c>
      <c r="I80" s="6">
        <f t="shared" si="20"/>
        <v>6.1285142406839537</v>
      </c>
      <c r="J80" s="6">
        <f t="shared" si="21"/>
        <v>808.76233495444649</v>
      </c>
      <c r="K80" s="6">
        <f t="shared" si="22"/>
        <v>5.0607428796580241</v>
      </c>
      <c r="L80" s="6">
        <f t="shared" si="23"/>
        <v>430.04897760169069</v>
      </c>
      <c r="M80" s="6">
        <f t="shared" si="17"/>
        <v>1.0651334203559717</v>
      </c>
      <c r="N80" s="6">
        <f t="shared" si="24"/>
        <v>2.0242971518632098</v>
      </c>
      <c r="O80" s="6">
        <f t="shared" si="25"/>
        <v>220.60770800530199</v>
      </c>
      <c r="P80" s="6">
        <f>SUM($G$2:G80)</f>
        <v>600.6566856069926</v>
      </c>
      <c r="Q80" s="6">
        <f t="shared" si="26"/>
        <v>1730.0489776016907</v>
      </c>
      <c r="R80" s="6">
        <f t="shared" si="27"/>
        <v>1730.0489776016907</v>
      </c>
      <c r="S80" s="6">
        <f t="shared" si="28"/>
        <v>0</v>
      </c>
    </row>
    <row r="81" spans="5:19" x14ac:dyDescent="0.3">
      <c r="E81" s="2">
        <v>79</v>
      </c>
      <c r="F81" s="6">
        <f t="shared" si="16"/>
        <v>19.75</v>
      </c>
      <c r="G81" s="6">
        <f t="shared" si="18"/>
        <v>7.076670430851407</v>
      </c>
      <c r="H81" s="6">
        <f t="shared" si="19"/>
        <v>492.17386466333562</v>
      </c>
      <c r="I81" s="6">
        <f t="shared" si="20"/>
        <v>6.1404708130694203</v>
      </c>
      <c r="J81" s="6">
        <f t="shared" si="21"/>
        <v>807.82613533666449</v>
      </c>
      <c r="K81" s="6">
        <f t="shared" si="22"/>
        <v>5.0547645934652907</v>
      </c>
      <c r="L81" s="6">
        <f t="shared" si="23"/>
        <v>434.02861975115178</v>
      </c>
      <c r="M81" s="6">
        <f t="shared" si="17"/>
        <v>1.0751224440042269</v>
      </c>
      <c r="N81" s="6">
        <f t="shared" si="24"/>
        <v>2.0219058373861163</v>
      </c>
      <c r="O81" s="6">
        <f t="shared" si="25"/>
        <v>223.70473628669234</v>
      </c>
      <c r="P81" s="6">
        <f>SUM($G$2:G81)</f>
        <v>607.73335603784403</v>
      </c>
      <c r="Q81" s="6">
        <f t="shared" si="26"/>
        <v>1734.0286197511516</v>
      </c>
      <c r="R81" s="6">
        <f t="shared" si="27"/>
        <v>1734.0286197511518</v>
      </c>
      <c r="S81" s="6">
        <f t="shared" si="28"/>
        <v>0</v>
      </c>
    </row>
    <row r="82" spans="5:19" x14ac:dyDescent="0.3">
      <c r="E82" s="2">
        <v>80</v>
      </c>
      <c r="F82" s="6">
        <f t="shared" si="16"/>
        <v>20</v>
      </c>
      <c r="G82" s="6">
        <f t="shared" si="18"/>
        <v>7.0684786841958154</v>
      </c>
      <c r="H82" s="6">
        <f t="shared" si="19"/>
        <v>493.09017003923975</v>
      </c>
      <c r="I82" s="6">
        <f t="shared" si="20"/>
        <v>6.1521733082916956</v>
      </c>
      <c r="J82" s="6">
        <f t="shared" si="21"/>
        <v>806.90982996076036</v>
      </c>
      <c r="K82" s="6">
        <f t="shared" si="22"/>
        <v>5.0489133458541531</v>
      </c>
      <c r="L82" s="6">
        <f t="shared" si="23"/>
        <v>437.99246154762807</v>
      </c>
      <c r="M82" s="6">
        <f t="shared" si="17"/>
        <v>1.0850715493778795</v>
      </c>
      <c r="N82" s="6">
        <f t="shared" si="24"/>
        <v>2.0195653383416614</v>
      </c>
      <c r="O82" s="6">
        <f t="shared" si="25"/>
        <v>226.80937317441189</v>
      </c>
      <c r="P82" s="6">
        <f>SUM($G$2:G82)</f>
        <v>614.80183472203987</v>
      </c>
      <c r="Q82" s="6">
        <f t="shared" si="26"/>
        <v>1737.9924615476282</v>
      </c>
      <c r="R82" s="6">
        <f t="shared" si="27"/>
        <v>1737.992461547628</v>
      </c>
      <c r="S82" s="6">
        <f t="shared" si="28"/>
        <v>0</v>
      </c>
    </row>
    <row r="83" spans="5:19" x14ac:dyDescent="0.3">
      <c r="E83" s="2">
        <v>81</v>
      </c>
      <c r="F83" s="6">
        <f t="shared" si="16"/>
        <v>20.25</v>
      </c>
      <c r="G83" s="6">
        <f t="shared" si="18"/>
        <v>7.0604610121566536</v>
      </c>
      <c r="H83" s="6">
        <f t="shared" si="19"/>
        <v>493.98700392590592</v>
      </c>
      <c r="I83" s="6">
        <f t="shared" si="20"/>
        <v>6.1636271254904971</v>
      </c>
      <c r="J83" s="6">
        <f t="shared" si="21"/>
        <v>806.01299607409419</v>
      </c>
      <c r="K83" s="6">
        <f t="shared" si="22"/>
        <v>5.0431864372547519</v>
      </c>
      <c r="L83" s="6">
        <f t="shared" si="23"/>
        <v>441.94066683101374</v>
      </c>
      <c r="M83" s="6">
        <f t="shared" si="17"/>
        <v>1.0949811538690701</v>
      </c>
      <c r="N83" s="6">
        <f t="shared" si="24"/>
        <v>2.0172745749019008</v>
      </c>
      <c r="O83" s="6">
        <f t="shared" si="25"/>
        <v>229.92162890318286</v>
      </c>
      <c r="P83" s="6">
        <f>SUM($G$2:G83)</f>
        <v>621.86229573419655</v>
      </c>
      <c r="Q83" s="6">
        <f t="shared" si="26"/>
        <v>1741.9406668310137</v>
      </c>
      <c r="R83" s="6">
        <f t="shared" si="27"/>
        <v>1741.9406668310137</v>
      </c>
      <c r="S83" s="6">
        <f t="shared" si="28"/>
        <v>0</v>
      </c>
    </row>
    <row r="84" spans="5:19" x14ac:dyDescent="0.3">
      <c r="E84" s="2">
        <v>82</v>
      </c>
      <c r="F84" s="6">
        <f t="shared" si="16"/>
        <v>20.5</v>
      </c>
      <c r="G84" s="6">
        <f t="shared" si="18"/>
        <v>7.0526137156483246</v>
      </c>
      <c r="H84" s="6">
        <f t="shared" si="19"/>
        <v>494.86478009248043</v>
      </c>
      <c r="I84" s="6">
        <f t="shared" si="20"/>
        <v>6.1748375490738239</v>
      </c>
      <c r="J84" s="6">
        <f t="shared" si="21"/>
        <v>805.13521990751963</v>
      </c>
      <c r="K84" s="6">
        <f t="shared" si="22"/>
        <v>5.0375812254630885</v>
      </c>
      <c r="L84" s="6">
        <f t="shared" si="23"/>
        <v>445.87339638939932</v>
      </c>
      <c r="M84" s="6">
        <f t="shared" si="17"/>
        <v>1.1048516670775343</v>
      </c>
      <c r="N84" s="6">
        <f t="shared" si="24"/>
        <v>2.0150324901852357</v>
      </c>
      <c r="O84" s="6">
        <f t="shared" si="25"/>
        <v>233.04151306044562</v>
      </c>
      <c r="P84" s="6">
        <f>SUM($G$2:G84)</f>
        <v>628.91490944984491</v>
      </c>
      <c r="Q84" s="6">
        <f t="shared" si="26"/>
        <v>1745.8733963893992</v>
      </c>
      <c r="R84" s="6">
        <f t="shared" si="27"/>
        <v>1745.8733963893992</v>
      </c>
      <c r="S84" s="6">
        <f t="shared" si="28"/>
        <v>0</v>
      </c>
    </row>
    <row r="85" spans="5:19" x14ac:dyDescent="0.3">
      <c r="E85" s="2">
        <v>83</v>
      </c>
      <c r="F85" s="6">
        <f t="shared" si="16"/>
        <v>20.75</v>
      </c>
      <c r="G85" s="6">
        <f t="shared" si="18"/>
        <v>7.0449331741907972</v>
      </c>
      <c r="H85" s="6">
        <f t="shared" si="19"/>
        <v>495.72390351551525</v>
      </c>
      <c r="I85" s="6">
        <f t="shared" si="20"/>
        <v>6.1858097511560057</v>
      </c>
      <c r="J85" s="6">
        <f t="shared" si="21"/>
        <v>804.27609648448492</v>
      </c>
      <c r="K85" s="6">
        <f t="shared" si="22"/>
        <v>5.032095124421998</v>
      </c>
      <c r="L85" s="6">
        <f t="shared" si="23"/>
        <v>449.79080802284784</v>
      </c>
      <c r="M85" s="6">
        <f t="shared" si="17"/>
        <v>1.1146834909734984</v>
      </c>
      <c r="N85" s="6">
        <f t="shared" si="24"/>
        <v>2.0128380497687992</v>
      </c>
      <c r="O85" s="6">
        <f t="shared" si="25"/>
        <v>236.16903460118792</v>
      </c>
      <c r="P85" s="6">
        <f>SUM($G$2:G85)</f>
        <v>635.95984262403567</v>
      </c>
      <c r="Q85" s="6">
        <f t="shared" si="26"/>
        <v>1749.7908080228478</v>
      </c>
      <c r="R85" s="6">
        <f t="shared" si="27"/>
        <v>1749.7908080228481</v>
      </c>
      <c r="S85" s="6">
        <f t="shared" si="28"/>
        <v>0</v>
      </c>
    </row>
    <row r="86" spans="5:19" x14ac:dyDescent="0.3">
      <c r="E86" s="2">
        <v>84</v>
      </c>
      <c r="F86" s="6">
        <f t="shared" si="16"/>
        <v>21</v>
      </c>
      <c r="G86" s="6">
        <f t="shared" si="18"/>
        <v>7.037415844239244</v>
      </c>
      <c r="H86" s="6">
        <f t="shared" si="19"/>
        <v>496.56477056581053</v>
      </c>
      <c r="I86" s="6">
        <f t="shared" si="20"/>
        <v>6.1965487939439408</v>
      </c>
      <c r="J86" s="6">
        <f t="shared" si="21"/>
        <v>803.43522943418964</v>
      </c>
      <c r="K86" s="6">
        <f t="shared" si="22"/>
        <v>5.026725603028031</v>
      </c>
      <c r="L86" s="6">
        <f t="shared" si="23"/>
        <v>453.69305660581875</v>
      </c>
      <c r="M86" s="6">
        <f t="shared" si="17"/>
        <v>1.1244770200571197</v>
      </c>
      <c r="N86" s="6">
        <f t="shared" si="24"/>
        <v>2.0106902412112122</v>
      </c>
      <c r="O86" s="6">
        <f t="shared" si="25"/>
        <v>239.30420186245627</v>
      </c>
      <c r="P86" s="6">
        <f>SUM($G$2:G86)</f>
        <v>642.99725846827494</v>
      </c>
      <c r="Q86" s="6">
        <f t="shared" si="26"/>
        <v>1753.6930566058188</v>
      </c>
      <c r="R86" s="6">
        <f t="shared" si="27"/>
        <v>1753.693056605819</v>
      </c>
      <c r="S86" s="6">
        <f t="shared" si="28"/>
        <v>0</v>
      </c>
    </row>
    <row r="87" spans="5:19" x14ac:dyDescent="0.3">
      <c r="E87" s="2">
        <v>85</v>
      </c>
      <c r="F87" s="6">
        <f t="shared" si="16"/>
        <v>21.25</v>
      </c>
      <c r="G87" s="6">
        <f t="shared" si="18"/>
        <v>7.0300582575491601</v>
      </c>
      <c r="H87" s="6">
        <f t="shared" si="19"/>
        <v>497.38776919128708</v>
      </c>
      <c r="I87" s="6">
        <f t="shared" si="20"/>
        <v>6.2070596320726317</v>
      </c>
      <c r="J87" s="6">
        <f t="shared" si="21"/>
        <v>802.61223080871321</v>
      </c>
      <c r="K87" s="6">
        <f t="shared" si="22"/>
        <v>5.0214701839636851</v>
      </c>
      <c r="L87" s="6">
        <f t="shared" si="23"/>
        <v>457.58029414826791</v>
      </c>
      <c r="M87" s="6">
        <f t="shared" si="17"/>
        <v>1.1342326415145469</v>
      </c>
      <c r="N87" s="6">
        <f t="shared" si="24"/>
        <v>2.0085880735854742</v>
      </c>
      <c r="O87" s="6">
        <f t="shared" si="25"/>
        <v>242.44702257755631</v>
      </c>
      <c r="P87" s="6">
        <f>SUM($G$2:G87)</f>
        <v>650.02731672582411</v>
      </c>
      <c r="Q87" s="6">
        <f t="shared" si="26"/>
        <v>1757.580294148268</v>
      </c>
      <c r="R87" s="6">
        <f t="shared" si="27"/>
        <v>1757.5802941482682</v>
      </c>
      <c r="S87" s="6">
        <f t="shared" si="28"/>
        <v>0</v>
      </c>
    </row>
    <row r="88" spans="5:19" x14ac:dyDescent="0.3">
      <c r="E88" s="2">
        <v>86</v>
      </c>
      <c r="F88" s="6">
        <f t="shared" si="16"/>
        <v>21.5</v>
      </c>
      <c r="G88" s="6">
        <f t="shared" si="18"/>
        <v>7.0228570195762412</v>
      </c>
      <c r="H88" s="6">
        <f t="shared" si="19"/>
        <v>498.19327909597223</v>
      </c>
      <c r="I88" s="6">
        <f t="shared" si="20"/>
        <v>6.2173471148910888</v>
      </c>
      <c r="J88" s="6">
        <f t="shared" si="21"/>
        <v>801.80672090402811</v>
      </c>
      <c r="K88" s="6">
        <f t="shared" si="22"/>
        <v>5.0163264425544574</v>
      </c>
      <c r="L88" s="6">
        <f t="shared" si="23"/>
        <v>461.45266985545169</v>
      </c>
      <c r="M88" s="6">
        <f t="shared" si="17"/>
        <v>1.1439507353706697</v>
      </c>
      <c r="N88" s="6">
        <f t="shared" si="24"/>
        <v>2.0065305770217829</v>
      </c>
      <c r="O88" s="6">
        <f t="shared" si="25"/>
        <v>245.59750388994877</v>
      </c>
      <c r="P88" s="6">
        <f>SUM($G$2:G88)</f>
        <v>657.05017374540034</v>
      </c>
      <c r="Q88" s="6">
        <f t="shared" si="26"/>
        <v>1761.4526698554516</v>
      </c>
      <c r="R88" s="6">
        <f t="shared" si="27"/>
        <v>1761.4526698554521</v>
      </c>
      <c r="S88" s="6">
        <f t="shared" si="28"/>
        <v>0</v>
      </c>
    </row>
    <row r="89" spans="5:19" x14ac:dyDescent="0.3">
      <c r="E89" s="2">
        <v>87</v>
      </c>
      <c r="F89" s="6">
        <f t="shared" si="16"/>
        <v>21.75</v>
      </c>
      <c r="G89" s="6">
        <f t="shared" si="18"/>
        <v>7.015808807910247</v>
      </c>
      <c r="H89" s="6">
        <f t="shared" si="19"/>
        <v>498.9816719151828</v>
      </c>
      <c r="I89" s="6">
        <f t="shared" si="20"/>
        <v>6.2274159886996525</v>
      </c>
      <c r="J89" s="6">
        <f t="shared" si="21"/>
        <v>801.01832808481765</v>
      </c>
      <c r="K89" s="6">
        <f t="shared" si="22"/>
        <v>5.0112920056501755</v>
      </c>
      <c r="L89" s="6">
        <f t="shared" si="23"/>
        <v>465.31033018646326</v>
      </c>
      <c r="M89" s="6">
        <f t="shared" si="17"/>
        <v>1.1536316746386293</v>
      </c>
      <c r="N89" s="6">
        <f t="shared" si="24"/>
        <v>2.0045168022600701</v>
      </c>
      <c r="O89" s="6">
        <f t="shared" si="25"/>
        <v>248.75565236684747</v>
      </c>
      <c r="P89" s="6">
        <f>SUM($G$2:G89)</f>
        <v>664.06598255331062</v>
      </c>
      <c r="Q89" s="6">
        <f t="shared" si="26"/>
        <v>1765.3103301864633</v>
      </c>
      <c r="R89" s="6">
        <f t="shared" si="27"/>
        <v>1765.3103301864637</v>
      </c>
      <c r="S89" s="6">
        <f t="shared" si="28"/>
        <v>0</v>
      </c>
    </row>
    <row r="90" spans="5:19" x14ac:dyDescent="0.3">
      <c r="E90" s="2">
        <v>88</v>
      </c>
      <c r="F90" s="6">
        <f t="shared" si="16"/>
        <v>22</v>
      </c>
      <c r="G90" s="6">
        <f t="shared" si="18"/>
        <v>7.0089103707421554</v>
      </c>
      <c r="H90" s="6">
        <f t="shared" si="19"/>
        <v>499.75331138698516</v>
      </c>
      <c r="I90" s="6">
        <f t="shared" si="20"/>
        <v>6.2372708989397854</v>
      </c>
      <c r="J90" s="6">
        <f t="shared" si="21"/>
        <v>800.24668861301529</v>
      </c>
      <c r="K90" s="6">
        <f t="shared" si="22"/>
        <v>5.00636455053011</v>
      </c>
      <c r="L90" s="6">
        <f t="shared" si="23"/>
        <v>469.15341891152724</v>
      </c>
      <c r="M90" s="6">
        <f t="shared" si="17"/>
        <v>1.1632758254661582</v>
      </c>
      <c r="N90" s="6">
        <f t="shared" si="24"/>
        <v>2.0025458202120441</v>
      </c>
      <c r="O90" s="6">
        <f t="shared" si="25"/>
        <v>251.92147401252566</v>
      </c>
      <c r="P90" s="6">
        <f>SUM($G$2:G90)</f>
        <v>671.07489292405273</v>
      </c>
      <c r="Q90" s="6">
        <f t="shared" si="26"/>
        <v>1769.1534189115268</v>
      </c>
      <c r="R90" s="6">
        <f t="shared" si="27"/>
        <v>1769.1534189115278</v>
      </c>
      <c r="S90" s="6">
        <f t="shared" si="28"/>
        <v>0</v>
      </c>
    </row>
    <row r="91" spans="5:19" x14ac:dyDescent="0.3">
      <c r="E91" s="2">
        <v>89</v>
      </c>
      <c r="F91" s="6">
        <f t="shared" si="16"/>
        <v>22.25</v>
      </c>
      <c r="G91" s="6">
        <f t="shared" si="18"/>
        <v>7.0021585253638845</v>
      </c>
      <c r="H91" s="6">
        <f t="shared" si="19"/>
        <v>500.50855352001173</v>
      </c>
      <c r="I91" s="6">
        <f t="shared" si="20"/>
        <v>6.2469163923373143</v>
      </c>
      <c r="J91" s="6">
        <f t="shared" si="21"/>
        <v>799.49144647998867</v>
      </c>
      <c r="K91" s="6">
        <f t="shared" si="22"/>
        <v>5.0015418038313459</v>
      </c>
      <c r="L91" s="6">
        <f t="shared" si="23"/>
        <v>472.98207716807974</v>
      </c>
      <c r="M91" s="6">
        <f t="shared" si="17"/>
        <v>1.1728835472788182</v>
      </c>
      <c r="N91" s="6">
        <f t="shared" si="24"/>
        <v>2.0006167215325381</v>
      </c>
      <c r="O91" s="6">
        <f t="shared" si="25"/>
        <v>255.09497428133702</v>
      </c>
      <c r="P91" s="6">
        <f>SUM($G$2:G91)</f>
        <v>678.07705144941667</v>
      </c>
      <c r="Q91" s="6">
        <f t="shared" si="26"/>
        <v>1772.9820771680795</v>
      </c>
      <c r="R91" s="6">
        <f t="shared" si="27"/>
        <v>1772.9820771680802</v>
      </c>
      <c r="S91" s="6">
        <f t="shared" si="28"/>
        <v>0</v>
      </c>
    </row>
    <row r="92" spans="5:19" x14ac:dyDescent="0.3">
      <c r="E92" s="2">
        <v>90</v>
      </c>
      <c r="F92" s="6">
        <f t="shared" si="16"/>
        <v>22.5</v>
      </c>
      <c r="G92" s="6">
        <f t="shared" si="18"/>
        <v>6.9955501566999017</v>
      </c>
      <c r="H92" s="6">
        <f t="shared" si="19"/>
        <v>501.24774675771147</v>
      </c>
      <c r="I92" s="6">
        <f t="shared" si="20"/>
        <v>6.2563569190001465</v>
      </c>
      <c r="J92" s="6">
        <f t="shared" si="21"/>
        <v>798.75225324228893</v>
      </c>
      <c r="K92" s="6">
        <f t="shared" si="22"/>
        <v>4.996821540499929</v>
      </c>
      <c r="L92" s="6">
        <f t="shared" si="23"/>
        <v>476.79644351565946</v>
      </c>
      <c r="M92" s="6">
        <f t="shared" si="17"/>
        <v>1.1824551929201994</v>
      </c>
      <c r="N92" s="6">
        <f t="shared" si="24"/>
        <v>1.9987286161999718</v>
      </c>
      <c r="O92" s="6">
        <f t="shared" si="25"/>
        <v>258.27615809045716</v>
      </c>
      <c r="P92" s="6">
        <f>SUM($G$2:G92)</f>
        <v>685.07260160611656</v>
      </c>
      <c r="Q92" s="6">
        <f t="shared" si="26"/>
        <v>1776.7964435156596</v>
      </c>
      <c r="R92" s="6">
        <f t="shared" si="27"/>
        <v>1776.79644351566</v>
      </c>
      <c r="S92" s="6">
        <f t="shared" si="28"/>
        <v>0</v>
      </c>
    </row>
    <row r="93" spans="5:19" x14ac:dyDescent="0.3">
      <c r="E93" s="2">
        <v>91</v>
      </c>
      <c r="F93" s="6">
        <f t="shared" si="16"/>
        <v>22.75</v>
      </c>
      <c r="G93" s="6">
        <f t="shared" si="18"/>
        <v>6.9890822158700292</v>
      </c>
      <c r="H93" s="6">
        <f t="shared" si="19"/>
        <v>501.9712321391101</v>
      </c>
      <c r="I93" s="6">
        <f t="shared" si="20"/>
        <v>6.2655968344713937</v>
      </c>
      <c r="J93" s="6">
        <f t="shared" si="21"/>
        <v>798.02876786089018</v>
      </c>
      <c r="K93" s="6">
        <f t="shared" si="22"/>
        <v>4.9922015827643058</v>
      </c>
      <c r="L93" s="6">
        <f t="shared" si="23"/>
        <v>480.5966539896346</v>
      </c>
      <c r="M93" s="6">
        <f t="shared" si="17"/>
        <v>1.1919911087891486</v>
      </c>
      <c r="N93" s="6">
        <f t="shared" si="24"/>
        <v>1.9968806331057223</v>
      </c>
      <c r="O93" s="6">
        <f t="shared" si="25"/>
        <v>261.465029832352</v>
      </c>
      <c r="P93" s="6">
        <f>SUM($G$2:G93)</f>
        <v>692.06168382198655</v>
      </c>
      <c r="Q93" s="6">
        <f t="shared" si="26"/>
        <v>1780.5966539896347</v>
      </c>
      <c r="R93" s="6">
        <f t="shared" si="27"/>
        <v>1780.5966539896349</v>
      </c>
      <c r="S93" s="6">
        <f t="shared" si="28"/>
        <v>0</v>
      </c>
    </row>
    <row r="94" spans="5:19" x14ac:dyDescent="0.3">
      <c r="E94" s="2">
        <v>92</v>
      </c>
      <c r="F94" s="6">
        <f t="shared" si="16"/>
        <v>23</v>
      </c>
      <c r="G94" s="6">
        <f t="shared" si="18"/>
        <v>6.9827517187827901</v>
      </c>
      <c r="H94" s="6">
        <f t="shared" si="19"/>
        <v>502.67934345615402</v>
      </c>
      <c r="I94" s="6">
        <f t="shared" si="20"/>
        <v>6.2746404017388766</v>
      </c>
      <c r="J94" s="6">
        <f t="shared" si="21"/>
        <v>797.32065654384633</v>
      </c>
      <c r="K94" s="6">
        <f t="shared" si="22"/>
        <v>4.9876797991305635</v>
      </c>
      <c r="L94" s="6">
        <f t="shared" si="23"/>
        <v>484.3828421537911</v>
      </c>
      <c r="M94" s="6">
        <f t="shared" si="17"/>
        <v>1.2014916349740865</v>
      </c>
      <c r="N94" s="6">
        <f t="shared" si="24"/>
        <v>1.9950719196522255</v>
      </c>
      <c r="O94" s="6">
        <f t="shared" si="25"/>
        <v>264.66159338697832</v>
      </c>
      <c r="P94" s="6">
        <f>SUM($G$2:G94)</f>
        <v>699.04443554076931</v>
      </c>
      <c r="Q94" s="6">
        <f t="shared" si="26"/>
        <v>1784.382842153791</v>
      </c>
      <c r="R94" s="6">
        <f t="shared" si="27"/>
        <v>1784.3828421537914</v>
      </c>
      <c r="S94" s="6">
        <f t="shared" si="28"/>
        <v>0</v>
      </c>
    </row>
    <row r="95" spans="5:19" x14ac:dyDescent="0.3">
      <c r="E95" s="2">
        <v>93</v>
      </c>
      <c r="F95" s="6">
        <f t="shared" si="16"/>
        <v>23.25</v>
      </c>
      <c r="G95" s="6">
        <f t="shared" si="18"/>
        <v>6.9765557447586559</v>
      </c>
      <c r="H95" s="6">
        <f t="shared" si="19"/>
        <v>503.37240740771074</v>
      </c>
      <c r="I95" s="6">
        <f t="shared" si="20"/>
        <v>6.2834917932019252</v>
      </c>
      <c r="J95" s="6">
        <f t="shared" si="21"/>
        <v>796.6275925922896</v>
      </c>
      <c r="K95" s="6">
        <f t="shared" si="22"/>
        <v>4.9832541033990392</v>
      </c>
      <c r="L95" s="6">
        <f t="shared" si="23"/>
        <v>488.15513915180566</v>
      </c>
      <c r="M95" s="6">
        <f t="shared" si="17"/>
        <v>1.2109571053844779</v>
      </c>
      <c r="N95" s="6">
        <f t="shared" si="24"/>
        <v>1.9933016413596159</v>
      </c>
      <c r="O95" s="6">
        <f t="shared" si="25"/>
        <v>267.8658521337224</v>
      </c>
      <c r="P95" s="6">
        <f>SUM($G$2:G95)</f>
        <v>706.020991285528</v>
      </c>
      <c r="Q95" s="6">
        <f t="shared" si="26"/>
        <v>1788.1551391518055</v>
      </c>
      <c r="R95" s="6">
        <f t="shared" si="27"/>
        <v>1788.155139151806</v>
      </c>
      <c r="S95" s="6">
        <f t="shared" si="28"/>
        <v>0</v>
      </c>
    </row>
    <row r="96" spans="5:19" x14ac:dyDescent="0.3">
      <c r="E96" s="2">
        <v>94</v>
      </c>
      <c r="F96" s="6">
        <f t="shared" si="16"/>
        <v>23.5</v>
      </c>
      <c r="G96" s="6">
        <f t="shared" si="18"/>
        <v>6.9704914351825344</v>
      </c>
      <c r="H96" s="6">
        <f t="shared" si="19"/>
        <v>504.05074375029687</v>
      </c>
      <c r="I96" s="6">
        <f t="shared" si="20"/>
        <v>6.2921550925963841</v>
      </c>
      <c r="J96" s="6">
        <f t="shared" si="21"/>
        <v>795.94925624970358</v>
      </c>
      <c r="K96" s="6">
        <f t="shared" si="22"/>
        <v>4.9789224537018102</v>
      </c>
      <c r="L96" s="6">
        <f t="shared" si="23"/>
        <v>491.91367375762798</v>
      </c>
      <c r="M96" s="6">
        <f t="shared" si="17"/>
        <v>1.2203878478795143</v>
      </c>
      <c r="N96" s="6">
        <f t="shared" si="24"/>
        <v>1.991568981480724</v>
      </c>
      <c r="O96" s="6">
        <f t="shared" si="25"/>
        <v>271.07780896308265</v>
      </c>
      <c r="P96" s="6">
        <f>SUM($G$2:G96)</f>
        <v>712.99148272071056</v>
      </c>
      <c r="Q96" s="6">
        <f t="shared" si="26"/>
        <v>1791.9136737576277</v>
      </c>
      <c r="R96" s="6">
        <f t="shared" si="27"/>
        <v>1791.9136737576284</v>
      </c>
      <c r="S96" s="6">
        <f t="shared" si="28"/>
        <v>0</v>
      </c>
    </row>
    <row r="97" spans="5:19" x14ac:dyDescent="0.3">
      <c r="E97" s="2">
        <v>95</v>
      </c>
      <c r="F97" s="6">
        <f t="shared" si="16"/>
        <v>23.75</v>
      </c>
      <c r="G97" s="6">
        <f t="shared" si="18"/>
        <v>6.9645559921849074</v>
      </c>
      <c r="H97" s="6">
        <f t="shared" si="19"/>
        <v>504.71466544560309</v>
      </c>
      <c r="I97" s="6">
        <f t="shared" si="20"/>
        <v>6.3006342968787106</v>
      </c>
      <c r="J97" s="6">
        <f t="shared" si="21"/>
        <v>795.28533455439742</v>
      </c>
      <c r="K97" s="6">
        <f t="shared" si="22"/>
        <v>4.9746828515606474</v>
      </c>
      <c r="L97" s="6">
        <f t="shared" si="23"/>
        <v>495.65857242479456</v>
      </c>
      <c r="M97" s="6">
        <f t="shared" si="17"/>
        <v>1.22978418439407</v>
      </c>
      <c r="N97" s="6">
        <f t="shared" si="24"/>
        <v>1.9898731406242589</v>
      </c>
      <c r="O97" s="6">
        <f t="shared" si="25"/>
        <v>274.29746628810096</v>
      </c>
      <c r="P97" s="6">
        <f>SUM($G$2:G97)</f>
        <v>719.95603871289552</v>
      </c>
      <c r="Q97" s="6">
        <f t="shared" si="26"/>
        <v>1795.6585724247943</v>
      </c>
      <c r="R97" s="6">
        <f t="shared" si="27"/>
        <v>1795.658572424795</v>
      </c>
      <c r="S97" s="6">
        <f t="shared" si="28"/>
        <v>0</v>
      </c>
    </row>
    <row r="98" spans="5:19" x14ac:dyDescent="0.3">
      <c r="E98" s="2">
        <v>96</v>
      </c>
      <c r="F98" s="6">
        <f t="shared" si="16"/>
        <v>24</v>
      </c>
      <c r="G98" s="6">
        <f t="shared" si="18"/>
        <v>6.9587466773509785</v>
      </c>
      <c r="H98" s="6">
        <f t="shared" si="19"/>
        <v>505.36447880488402</v>
      </c>
      <c r="I98" s="6">
        <f t="shared" si="20"/>
        <v>6.3089333180700384</v>
      </c>
      <c r="J98" s="6">
        <f t="shared" si="21"/>
        <v>794.63552119511644</v>
      </c>
      <c r="K98" s="6">
        <f t="shared" si="22"/>
        <v>4.9705333409649839</v>
      </c>
      <c r="L98" s="6">
        <f t="shared" si="23"/>
        <v>499.38995933469755</v>
      </c>
      <c r="M98" s="6">
        <f t="shared" si="17"/>
        <v>1.2391464310619864</v>
      </c>
      <c r="N98" s="6">
        <f t="shared" si="24"/>
        <v>1.9882133363859935</v>
      </c>
      <c r="O98" s="6">
        <f t="shared" si="25"/>
        <v>277.52482605554894</v>
      </c>
      <c r="P98" s="6">
        <f>SUM($G$2:G98)</f>
        <v>726.91478539024649</v>
      </c>
      <c r="Q98" s="6">
        <f t="shared" si="26"/>
        <v>1799.3899593346973</v>
      </c>
      <c r="R98" s="6">
        <f t="shared" si="27"/>
        <v>1799.389959334698</v>
      </c>
      <c r="S98" s="6">
        <f t="shared" si="28"/>
        <v>0</v>
      </c>
    </row>
    <row r="99" spans="5:19" x14ac:dyDescent="0.3">
      <c r="E99" s="2">
        <v>97</v>
      </c>
      <c r="F99" s="6">
        <f t="shared" si="16"/>
        <v>24.25</v>
      </c>
      <c r="G99" s="6">
        <f t="shared" si="18"/>
        <v>6.9530608104572691</v>
      </c>
      <c r="H99" s="6">
        <f t="shared" si="19"/>
        <v>506.00048363028026</v>
      </c>
      <c r="I99" s="6">
        <f t="shared" si="20"/>
        <v>6.3170559850610504</v>
      </c>
      <c r="J99" s="6">
        <f t="shared" si="21"/>
        <v>793.99951636972025</v>
      </c>
      <c r="K99" s="6">
        <f t="shared" si="22"/>
        <v>4.9664720074694779</v>
      </c>
      <c r="L99" s="6">
        <f t="shared" si="23"/>
        <v>503.10795644383029</v>
      </c>
      <c r="M99" s="6">
        <f t="shared" si="17"/>
        <v>1.248474898336744</v>
      </c>
      <c r="N99" s="6">
        <f t="shared" si="24"/>
        <v>1.9865888029877912</v>
      </c>
      <c r="O99" s="6">
        <f t="shared" si="25"/>
        <v>280.75988975687346</v>
      </c>
      <c r="P99" s="6">
        <f>SUM($G$2:G99)</f>
        <v>733.86784620070375</v>
      </c>
      <c r="Q99" s="6">
        <f t="shared" si="26"/>
        <v>1803.1079564438303</v>
      </c>
      <c r="R99" s="6">
        <f t="shared" si="27"/>
        <v>1803.1079564438307</v>
      </c>
      <c r="S99" s="6">
        <f t="shared" si="28"/>
        <v>0</v>
      </c>
    </row>
    <row r="100" spans="5:19" x14ac:dyDescent="0.3">
      <c r="E100" s="2">
        <v>98</v>
      </c>
      <c r="F100" s="6">
        <f t="shared" si="16"/>
        <v>24.5</v>
      </c>
      <c r="G100" s="6">
        <f t="shared" si="18"/>
        <v>6.9474957682350533</v>
      </c>
      <c r="H100" s="6">
        <f t="shared" si="19"/>
        <v>506.62297335313679</v>
      </c>
      <c r="I100" s="6">
        <f t="shared" si="20"/>
        <v>6.3250060453785029</v>
      </c>
      <c r="J100" s="6">
        <f t="shared" si="21"/>
        <v>793.37702664686367</v>
      </c>
      <c r="K100" s="6">
        <f t="shared" si="22"/>
        <v>4.9624969773107512</v>
      </c>
      <c r="L100" s="6">
        <f t="shared" si="23"/>
        <v>506.81268353003145</v>
      </c>
      <c r="M100" s="6">
        <f t="shared" si="17"/>
        <v>1.2577698911095758</v>
      </c>
      <c r="N100" s="6">
        <f t="shared" si="24"/>
        <v>1.9849987909243008</v>
      </c>
      <c r="O100" s="6">
        <f t="shared" si="25"/>
        <v>284.00265843890736</v>
      </c>
      <c r="P100" s="6">
        <f>SUM($G$2:G100)</f>
        <v>740.81534196893881</v>
      </c>
      <c r="Q100" s="6">
        <f t="shared" si="26"/>
        <v>1806.8126835300313</v>
      </c>
      <c r="R100" s="6">
        <f t="shared" si="27"/>
        <v>1806.8126835300318</v>
      </c>
      <c r="S100" s="6">
        <f t="shared" si="28"/>
        <v>0</v>
      </c>
    </row>
    <row r="101" spans="5:19" x14ac:dyDescent="0.3">
      <c r="E101" s="2">
        <v>99</v>
      </c>
      <c r="F101" s="6">
        <f t="shared" si="16"/>
        <v>24.75</v>
      </c>
      <c r="G101" s="6">
        <f t="shared" si="18"/>
        <v>6.942048983160058</v>
      </c>
      <c r="H101" s="6">
        <f t="shared" si="19"/>
        <v>507.23223516938265</v>
      </c>
      <c r="I101" s="6">
        <f t="shared" si="20"/>
        <v>6.3327871669142102</v>
      </c>
      <c r="J101" s="6">
        <f t="shared" si="21"/>
        <v>792.76776483061769</v>
      </c>
      <c r="K101" s="6">
        <f t="shared" si="22"/>
        <v>4.9586064165428976</v>
      </c>
      <c r="L101" s="6">
        <f t="shared" si="23"/>
        <v>510.50425823774924</v>
      </c>
      <c r="M101" s="6">
        <f t="shared" si="17"/>
        <v>1.2670317088250787</v>
      </c>
      <c r="N101" s="6">
        <f t="shared" si="24"/>
        <v>1.9834425666171591</v>
      </c>
      <c r="O101" s="6">
        <f t="shared" si="25"/>
        <v>287.25313271434959</v>
      </c>
      <c r="P101" s="6">
        <f>SUM($G$2:G101)</f>
        <v>747.75739095209883</v>
      </c>
      <c r="Q101" s="6">
        <f t="shared" si="26"/>
        <v>1810.5042582377491</v>
      </c>
      <c r="R101" s="6">
        <f t="shared" si="27"/>
        <v>1810.5042582377496</v>
      </c>
      <c r="S101" s="6">
        <f t="shared" si="28"/>
        <v>0</v>
      </c>
    </row>
    <row r="102" spans="5:19" x14ac:dyDescent="0.3">
      <c r="E102" s="2">
        <v>100</v>
      </c>
      <c r="F102" s="6">
        <f t="shared" si="16"/>
        <v>25</v>
      </c>
      <c r="G102" s="6">
        <f t="shared" si="18"/>
        <v>6.9367179422679053</v>
      </c>
      <c r="H102" s="6">
        <f t="shared" si="19"/>
        <v>507.82855017203326</v>
      </c>
      <c r="I102" s="6">
        <f t="shared" si="20"/>
        <v>6.3404029396172827</v>
      </c>
      <c r="J102" s="6">
        <f t="shared" si="21"/>
        <v>792.17144982796708</v>
      </c>
      <c r="K102" s="6">
        <f t="shared" si="22"/>
        <v>4.9547985301913604</v>
      </c>
      <c r="L102" s="6">
        <f t="shared" si="23"/>
        <v>514.18279612234619</v>
      </c>
      <c r="M102" s="6">
        <f t="shared" si="17"/>
        <v>1.276260645594373</v>
      </c>
      <c r="N102" s="6">
        <f t="shared" si="24"/>
        <v>1.9819194120765442</v>
      </c>
      <c r="O102" s="6">
        <f t="shared" si="25"/>
        <v>290.51131277202052</v>
      </c>
      <c r="P102" s="6">
        <f>SUM($G$2:G102)</f>
        <v>754.69410889436676</v>
      </c>
      <c r="Q102" s="6">
        <f t="shared" si="26"/>
        <v>1814.1827961223462</v>
      </c>
      <c r="R102" s="6">
        <f t="shared" si="27"/>
        <v>1814.1827961223466</v>
      </c>
      <c r="S102" s="6">
        <f t="shared" si="28"/>
        <v>0</v>
      </c>
    </row>
    <row r="103" spans="5:19" x14ac:dyDescent="0.3">
      <c r="E103" s="2">
        <v>101</v>
      </c>
      <c r="F103" s="6">
        <f t="shared" si="16"/>
        <v>25.25</v>
      </c>
      <c r="G103" s="6">
        <f t="shared" si="18"/>
        <v>6.9315001859947127</v>
      </c>
      <c r="H103" s="6">
        <f t="shared" si="19"/>
        <v>508.41219348087753</v>
      </c>
      <c r="I103" s="6">
        <f t="shared" si="20"/>
        <v>6.3478568771504156</v>
      </c>
      <c r="J103" s="6">
        <f t="shared" si="21"/>
        <v>791.58780651912286</v>
      </c>
      <c r="K103" s="6">
        <f t="shared" si="22"/>
        <v>4.9510715614247944</v>
      </c>
      <c r="L103" s="6">
        <f t="shared" si="23"/>
        <v>517.8484106934651</v>
      </c>
      <c r="M103" s="6">
        <f t="shared" si="17"/>
        <v>1.2854569903058655</v>
      </c>
      <c r="N103" s="6">
        <f t="shared" si="24"/>
        <v>1.9804286245699176</v>
      </c>
      <c r="O103" s="6">
        <f t="shared" si="25"/>
        <v>293.77719838689632</v>
      </c>
      <c r="P103" s="6">
        <f>SUM($G$2:G103)</f>
        <v>761.62560908036153</v>
      </c>
      <c r="Q103" s="6">
        <f t="shared" si="26"/>
        <v>1817.8484106934654</v>
      </c>
      <c r="R103" s="6">
        <f t="shared" si="27"/>
        <v>1817.8484106934657</v>
      </c>
      <c r="S103" s="6">
        <f t="shared" si="28"/>
        <v>0</v>
      </c>
    </row>
    <row r="104" spans="5:19" x14ac:dyDescent="0.3">
      <c r="E104" s="2">
        <v>102</v>
      </c>
      <c r="F104" s="6">
        <f t="shared" si="16"/>
        <v>25.5</v>
      </c>
      <c r="G104" s="6">
        <f t="shared" si="18"/>
        <v>6.9263933070423258</v>
      </c>
      <c r="H104" s="6">
        <f t="shared" si="19"/>
        <v>508.98343436940888</v>
      </c>
      <c r="I104" s="6">
        <f t="shared" si="20"/>
        <v>6.3551524185109693</v>
      </c>
      <c r="J104" s="6">
        <f t="shared" si="21"/>
        <v>791.01656563059157</v>
      </c>
      <c r="K104" s="6">
        <f t="shared" si="22"/>
        <v>4.9474237907445175</v>
      </c>
      <c r="L104" s="6">
        <f t="shared" si="23"/>
        <v>521.50121345747596</v>
      </c>
      <c r="M104" s="6">
        <f t="shared" si="17"/>
        <v>1.2946210267336629</v>
      </c>
      <c r="N104" s="6">
        <f t="shared" si="24"/>
        <v>1.9789695162978072</v>
      </c>
      <c r="O104" s="6">
        <f t="shared" si="25"/>
        <v>297.05078892992776</v>
      </c>
      <c r="P104" s="6">
        <f>SUM($G$2:G104)</f>
        <v>768.55200238740383</v>
      </c>
      <c r="Q104" s="6">
        <f t="shared" si="26"/>
        <v>1821.5012134574758</v>
      </c>
      <c r="R104" s="6">
        <f t="shared" si="27"/>
        <v>1821.5012134574763</v>
      </c>
      <c r="S104" s="6">
        <f t="shared" si="28"/>
        <v>0</v>
      </c>
    </row>
    <row r="105" spans="5:19" x14ac:dyDescent="0.3">
      <c r="E105" s="2">
        <v>103</v>
      </c>
      <c r="F105" s="6">
        <f t="shared" si="16"/>
        <v>25.75</v>
      </c>
      <c r="G105" s="6">
        <f t="shared" si="18"/>
        <v>6.9213949492676772</v>
      </c>
      <c r="H105" s="6">
        <f t="shared" si="19"/>
        <v>509.54253638905897</v>
      </c>
      <c r="I105" s="6">
        <f t="shared" si="20"/>
        <v>6.3622929296176114</v>
      </c>
      <c r="J105" s="6">
        <f t="shared" si="21"/>
        <v>790.45746361094155</v>
      </c>
      <c r="K105" s="6">
        <f t="shared" si="22"/>
        <v>4.943853535191197</v>
      </c>
      <c r="L105" s="6">
        <f t="shared" si="23"/>
        <v>525.14131395902348</v>
      </c>
      <c r="M105" s="6">
        <f t="shared" si="17"/>
        <v>1.30375303364369</v>
      </c>
      <c r="N105" s="6">
        <f t="shared" si="24"/>
        <v>1.9775414140764789</v>
      </c>
      <c r="O105" s="6">
        <f t="shared" si="25"/>
        <v>300.33208337764796</v>
      </c>
      <c r="P105" s="6">
        <f>SUM($G$2:G105)</f>
        <v>775.4733973366715</v>
      </c>
      <c r="Q105" s="6">
        <f t="shared" si="26"/>
        <v>1825.1413139590236</v>
      </c>
      <c r="R105" s="6">
        <f t="shared" si="27"/>
        <v>1825.141313959024</v>
      </c>
      <c r="S105" s="6">
        <f t="shared" si="28"/>
        <v>0</v>
      </c>
    </row>
    <row r="106" spans="5:19" x14ac:dyDescent="0.3">
      <c r="E106" s="2">
        <v>104</v>
      </c>
      <c r="F106" s="6">
        <f t="shared" si="16"/>
        <v>26</v>
      </c>
      <c r="G106" s="6">
        <f t="shared" si="18"/>
        <v>6.916502806595739</v>
      </c>
      <c r="H106" s="6">
        <f t="shared" si="19"/>
        <v>510.08975749079144</v>
      </c>
      <c r="I106" s="6">
        <f t="shared" si="20"/>
        <v>6.3692817048632371</v>
      </c>
      <c r="J106" s="6">
        <f t="shared" si="21"/>
        <v>789.91024250920907</v>
      </c>
      <c r="K106" s="6">
        <f t="shared" si="22"/>
        <v>4.940359147568385</v>
      </c>
      <c r="L106" s="6">
        <f t="shared" si="23"/>
        <v>528.76881982169425</v>
      </c>
      <c r="M106" s="6">
        <f t="shared" si="17"/>
        <v>1.3128532848975587</v>
      </c>
      <c r="N106" s="6">
        <f t="shared" si="24"/>
        <v>1.976143659027354</v>
      </c>
      <c r="O106" s="6">
        <f t="shared" si="25"/>
        <v>303.62108032157289</v>
      </c>
      <c r="P106" s="6">
        <f>SUM($G$2:G106)</f>
        <v>782.38990014326725</v>
      </c>
      <c r="Q106" s="6">
        <f t="shared" si="26"/>
        <v>1828.7688198216945</v>
      </c>
      <c r="R106" s="6">
        <f t="shared" si="27"/>
        <v>1828.7688198216947</v>
      </c>
      <c r="S106" s="6">
        <f t="shared" si="28"/>
        <v>0</v>
      </c>
    </row>
    <row r="107" spans="5:19" x14ac:dyDescent="0.3">
      <c r="E107" s="2">
        <v>105</v>
      </c>
      <c r="F107" s="6">
        <f t="shared" si="16"/>
        <v>26.25</v>
      </c>
      <c r="G107" s="6">
        <f t="shared" si="18"/>
        <v>6.9117146219555803</v>
      </c>
      <c r="H107" s="6">
        <f t="shared" si="19"/>
        <v>510.62535014411213</v>
      </c>
      <c r="I107" s="6">
        <f t="shared" si="20"/>
        <v>6.3761219686348927</v>
      </c>
      <c r="J107" s="6">
        <f t="shared" si="21"/>
        <v>789.37464985588838</v>
      </c>
      <c r="K107" s="6">
        <f t="shared" si="22"/>
        <v>4.9369390156825563</v>
      </c>
      <c r="L107" s="6">
        <f t="shared" si="23"/>
        <v>532.38383678782259</v>
      </c>
      <c r="M107" s="6">
        <f t="shared" si="17"/>
        <v>1.3219220495542356</v>
      </c>
      <c r="N107" s="6">
        <f t="shared" si="24"/>
        <v>1.9747756062730226</v>
      </c>
      <c r="O107" s="6">
        <f t="shared" si="25"/>
        <v>306.91777797740014</v>
      </c>
      <c r="P107" s="6">
        <f>SUM($G$2:G107)</f>
        <v>789.30161476522278</v>
      </c>
      <c r="Q107" s="6">
        <f t="shared" si="26"/>
        <v>1832.3838367878227</v>
      </c>
      <c r="R107" s="6">
        <f t="shared" si="27"/>
        <v>1832.3838367878229</v>
      </c>
      <c r="S107" s="6">
        <f t="shared" si="28"/>
        <v>0</v>
      </c>
    </row>
    <row r="108" spans="5:19" x14ac:dyDescent="0.3">
      <c r="E108" s="2">
        <v>106</v>
      </c>
      <c r="F108" s="6">
        <f t="shared" si="16"/>
        <v>26.5</v>
      </c>
      <c r="G108" s="6">
        <f t="shared" si="18"/>
        <v>6.9070281862390237</v>
      </c>
      <c r="H108" s="6">
        <f t="shared" si="19"/>
        <v>511.14956145354978</v>
      </c>
      <c r="I108" s="6">
        <f t="shared" si="20"/>
        <v>6.3828168768014013</v>
      </c>
      <c r="J108" s="6">
        <f t="shared" si="21"/>
        <v>788.85043854645073</v>
      </c>
      <c r="K108" s="6">
        <f t="shared" si="22"/>
        <v>4.933591561599302</v>
      </c>
      <c r="L108" s="6">
        <f t="shared" si="23"/>
        <v>535.98646875745237</v>
      </c>
      <c r="M108" s="6">
        <f t="shared" si="17"/>
        <v>1.3309595919695565</v>
      </c>
      <c r="N108" s="6">
        <f t="shared" si="24"/>
        <v>1.973436624639721</v>
      </c>
      <c r="O108" s="6">
        <f t="shared" si="25"/>
        <v>310.22217419400937</v>
      </c>
      <c r="P108" s="6">
        <f>SUM($G$2:G108)</f>
        <v>796.2086429514618</v>
      </c>
      <c r="Q108" s="6">
        <f t="shared" si="26"/>
        <v>1835.9864687574527</v>
      </c>
      <c r="R108" s="6">
        <f t="shared" si="27"/>
        <v>1835.9864687574527</v>
      </c>
      <c r="S108" s="6">
        <f t="shared" si="28"/>
        <v>0</v>
      </c>
    </row>
    <row r="109" spans="5:19" x14ac:dyDescent="0.3">
      <c r="E109" s="2">
        <v>107</v>
      </c>
      <c r="F109" s="6">
        <f t="shared" si="16"/>
        <v>26.75</v>
      </c>
      <c r="G109" s="6">
        <f t="shared" si="18"/>
        <v>6.9024413372814442</v>
      </c>
      <c r="H109" s="6">
        <f t="shared" si="19"/>
        <v>511.66263327266188</v>
      </c>
      <c r="I109" s="6">
        <f t="shared" si="20"/>
        <v>6.3893695181693726</v>
      </c>
      <c r="J109" s="6">
        <f t="shared" si="21"/>
        <v>788.33736672733869</v>
      </c>
      <c r="K109" s="6">
        <f t="shared" si="22"/>
        <v>4.9303152409153173</v>
      </c>
      <c r="L109" s="6">
        <f t="shared" si="23"/>
        <v>539.5768178264741</v>
      </c>
      <c r="M109" s="6">
        <f t="shared" si="17"/>
        <v>1.3399661718936309</v>
      </c>
      <c r="N109" s="6">
        <f t="shared" si="24"/>
        <v>1.9721260963661269</v>
      </c>
      <c r="O109" s="6">
        <f t="shared" si="25"/>
        <v>313.53426646226916</v>
      </c>
      <c r="P109" s="6">
        <f>SUM($G$2:G109)</f>
        <v>803.1110842887432</v>
      </c>
      <c r="Q109" s="6">
        <f t="shared" si="26"/>
        <v>1839.5768178264741</v>
      </c>
      <c r="R109" s="6">
        <f t="shared" si="27"/>
        <v>1839.5768178264746</v>
      </c>
      <c r="S109" s="6">
        <f t="shared" si="28"/>
        <v>0</v>
      </c>
    </row>
    <row r="110" spans="5:19" x14ac:dyDescent="0.3">
      <c r="E110" s="2">
        <v>108</v>
      </c>
      <c r="F110" s="6">
        <f t="shared" si="16"/>
        <v>27</v>
      </c>
      <c r="G110" s="6">
        <f t="shared" si="18"/>
        <v>6.8979519588642138</v>
      </c>
      <c r="H110" s="6">
        <f t="shared" si="19"/>
        <v>512.16480231561786</v>
      </c>
      <c r="I110" s="6">
        <f t="shared" si="20"/>
        <v>6.3957829159082733</v>
      </c>
      <c r="J110" s="6">
        <f t="shared" si="21"/>
        <v>787.83519768438282</v>
      </c>
      <c r="K110" s="6">
        <f t="shared" si="22"/>
        <v>4.9271085420458665</v>
      </c>
      <c r="L110" s="6">
        <f t="shared" si="23"/>
        <v>543.15498432395373</v>
      </c>
      <c r="M110" s="6">
        <f t="shared" si="17"/>
        <v>1.3489420445661853</v>
      </c>
      <c r="N110" s="6">
        <f t="shared" si="24"/>
        <v>1.9708434168183468</v>
      </c>
      <c r="O110" s="6">
        <f t="shared" si="25"/>
        <v>316.85405192365369</v>
      </c>
      <c r="P110" s="6">
        <f>SUM($G$2:G110)</f>
        <v>810.00903624760747</v>
      </c>
      <c r="Q110" s="6">
        <f t="shared" si="26"/>
        <v>1843.1549843239538</v>
      </c>
      <c r="R110" s="6">
        <f t="shared" si="27"/>
        <v>1843.1549843239545</v>
      </c>
      <c r="S110" s="6">
        <f t="shared" si="28"/>
        <v>0</v>
      </c>
    </row>
    <row r="111" spans="5:19" x14ac:dyDescent="0.3">
      <c r="E111" s="2">
        <v>109</v>
      </c>
      <c r="F111" s="6">
        <f t="shared" si="16"/>
        <v>27.25</v>
      </c>
      <c r="G111" s="6">
        <f t="shared" si="18"/>
        <v>6.8935579797383504</v>
      </c>
      <c r="H111" s="6">
        <f t="shared" si="19"/>
        <v>512.65630026641099</v>
      </c>
      <c r="I111" s="6">
        <f t="shared" si="20"/>
        <v>6.4020600289452236</v>
      </c>
      <c r="J111" s="6">
        <f t="shared" si="21"/>
        <v>787.34369973358969</v>
      </c>
      <c r="K111" s="6">
        <f t="shared" si="22"/>
        <v>4.9239699855273926</v>
      </c>
      <c r="L111" s="6">
        <f t="shared" si="23"/>
        <v>546.72106684867128</v>
      </c>
      <c r="M111" s="6">
        <f t="shared" si="17"/>
        <v>1.3578874608098843</v>
      </c>
      <c r="N111" s="6">
        <f t="shared" si="24"/>
        <v>1.9695879942109571</v>
      </c>
      <c r="O111" s="6">
        <f t="shared" si="25"/>
        <v>320.1815273786745</v>
      </c>
      <c r="P111" s="6">
        <f>SUM($G$2:G111)</f>
        <v>816.90259422734584</v>
      </c>
      <c r="Q111" s="6">
        <f t="shared" si="26"/>
        <v>1846.7210668486712</v>
      </c>
      <c r="R111" s="6">
        <f t="shared" si="27"/>
        <v>1846.7210668486719</v>
      </c>
      <c r="S111" s="6">
        <f t="shared" si="28"/>
        <v>0</v>
      </c>
    </row>
    <row r="112" spans="5:19" x14ac:dyDescent="0.3">
      <c r="E112" s="2">
        <v>110</v>
      </c>
      <c r="F112" s="6">
        <f t="shared" si="16"/>
        <v>27.5</v>
      </c>
      <c r="G112" s="6">
        <f t="shared" si="18"/>
        <v>6.8892573726689106</v>
      </c>
      <c r="H112" s="6">
        <f t="shared" si="19"/>
        <v>513.1373538857498</v>
      </c>
      <c r="I112" s="6">
        <f t="shared" si="20"/>
        <v>6.4082037533301373</v>
      </c>
      <c r="J112" s="6">
        <f t="shared" si="21"/>
        <v>786.86264611425088</v>
      </c>
      <c r="K112" s="6">
        <f t="shared" si="22"/>
        <v>4.9208981233349354</v>
      </c>
      <c r="L112" s="6">
        <f t="shared" si="23"/>
        <v>550.27516230488459</v>
      </c>
      <c r="M112" s="6">
        <f t="shared" si="17"/>
        <v>1.3668026671216782</v>
      </c>
      <c r="N112" s="6">
        <f t="shared" si="24"/>
        <v>1.9683592493339743</v>
      </c>
      <c r="O112" s="6">
        <f t="shared" si="25"/>
        <v>323.51668929513016</v>
      </c>
      <c r="P112" s="6">
        <f>SUM($G$2:G112)</f>
        <v>823.79185160001475</v>
      </c>
      <c r="Q112" s="6">
        <f t="shared" si="26"/>
        <v>1850.2751623048844</v>
      </c>
      <c r="R112" s="6">
        <f t="shared" si="27"/>
        <v>1850.2751623048853</v>
      </c>
      <c r="S112" s="6">
        <f t="shared" si="28"/>
        <v>0</v>
      </c>
    </row>
    <row r="113" spans="5:19" x14ac:dyDescent="0.3">
      <c r="E113" s="2">
        <v>111</v>
      </c>
      <c r="F113" s="6">
        <f t="shared" si="16"/>
        <v>27.75</v>
      </c>
      <c r="G113" s="6">
        <f t="shared" si="18"/>
        <v>6.8850481534996959</v>
      </c>
      <c r="H113" s="6">
        <f t="shared" si="19"/>
        <v>513.60818511567766</v>
      </c>
      <c r="I113" s="6">
        <f t="shared" si="20"/>
        <v>6.4142169235718729</v>
      </c>
      <c r="J113" s="6">
        <f t="shared" si="21"/>
        <v>786.39181488432303</v>
      </c>
      <c r="K113" s="6">
        <f t="shared" si="22"/>
        <v>4.917891538214068</v>
      </c>
      <c r="L113" s="6">
        <f t="shared" si="23"/>
        <v>553.81736593733649</v>
      </c>
      <c r="M113" s="6">
        <f t="shared" si="17"/>
        <v>1.3756879057622116</v>
      </c>
      <c r="N113" s="6">
        <f t="shared" si="24"/>
        <v>1.9671566152856272</v>
      </c>
      <c r="O113" s="6">
        <f t="shared" si="25"/>
        <v>326.85953381617799</v>
      </c>
      <c r="P113" s="6">
        <f>SUM($G$2:G113)</f>
        <v>830.67689975351448</v>
      </c>
      <c r="Q113" s="6">
        <f t="shared" si="26"/>
        <v>1853.8173659373365</v>
      </c>
      <c r="R113" s="6">
        <f t="shared" si="27"/>
        <v>1853.8173659373372</v>
      </c>
      <c r="S113" s="6">
        <f t="shared" si="28"/>
        <v>0</v>
      </c>
    </row>
    <row r="114" spans="5:19" x14ac:dyDescent="0.3">
      <c r="E114" s="2">
        <v>112</v>
      </c>
      <c r="F114" s="6">
        <f t="shared" si="16"/>
        <v>28</v>
      </c>
      <c r="G114" s="6">
        <f t="shared" si="18"/>
        <v>6.8809283802378269</v>
      </c>
      <c r="H114" s="6">
        <f t="shared" si="19"/>
        <v>514.06901118196947</v>
      </c>
      <c r="I114" s="6">
        <f t="shared" si="20"/>
        <v>6.4201023139459705</v>
      </c>
      <c r="J114" s="6">
        <f t="shared" si="21"/>
        <v>785.93098881803121</v>
      </c>
      <c r="K114" s="6">
        <f t="shared" si="22"/>
        <v>4.9149488430270187</v>
      </c>
      <c r="L114" s="6">
        <f t="shared" si="23"/>
        <v>557.3477713655202</v>
      </c>
      <c r="M114" s="6">
        <f t="shared" si="17"/>
        <v>1.3845434148433413</v>
      </c>
      <c r="N114" s="6">
        <f t="shared" si="24"/>
        <v>1.9659795372108075</v>
      </c>
      <c r="O114" s="6">
        <f t="shared" si="25"/>
        <v>330.21005676823211</v>
      </c>
      <c r="P114" s="6">
        <f>SUM($G$2:G114)</f>
        <v>837.55782813375231</v>
      </c>
      <c r="Q114" s="6">
        <f t="shared" si="26"/>
        <v>1857.34777136552</v>
      </c>
      <c r="R114" s="6">
        <f t="shared" si="27"/>
        <v>1857.3477713655209</v>
      </c>
      <c r="S114" s="6">
        <f t="shared" si="28"/>
        <v>0</v>
      </c>
    </row>
    <row r="115" spans="5:19" x14ac:dyDescent="0.3">
      <c r="E115" s="2">
        <v>113</v>
      </c>
      <c r="F115" s="6">
        <f t="shared" si="16"/>
        <v>28.25</v>
      </c>
      <c r="G115" s="6">
        <f t="shared" si="18"/>
        <v>6.8768961521577738</v>
      </c>
      <c r="H115" s="6">
        <f t="shared" si="19"/>
        <v>514.52004469435258</v>
      </c>
      <c r="I115" s="6">
        <f t="shared" si="20"/>
        <v>6.4258626397746186</v>
      </c>
      <c r="J115" s="6">
        <f t="shared" si="21"/>
        <v>785.4799553056481</v>
      </c>
      <c r="K115" s="6">
        <f t="shared" si="22"/>
        <v>4.9120686801126947</v>
      </c>
      <c r="L115" s="6">
        <f t="shared" si="23"/>
        <v>560.86647061721908</v>
      </c>
      <c r="M115" s="6">
        <f t="shared" si="17"/>
        <v>1.3933694284138005</v>
      </c>
      <c r="N115" s="6">
        <f t="shared" si="24"/>
        <v>1.964827472045078</v>
      </c>
      <c r="O115" s="6">
        <f t="shared" si="25"/>
        <v>333.568253668691</v>
      </c>
      <c r="P115" s="6">
        <f>SUM($G$2:G115)</f>
        <v>844.43472428591008</v>
      </c>
      <c r="Q115" s="6">
        <f t="shared" si="26"/>
        <v>1860.8664706172194</v>
      </c>
      <c r="R115" s="6">
        <f t="shared" si="27"/>
        <v>1860.8664706172199</v>
      </c>
      <c r="S115" s="6">
        <f t="shared" si="28"/>
        <v>0</v>
      </c>
    </row>
    <row r="116" spans="5:19" x14ac:dyDescent="0.3">
      <c r="E116" s="2">
        <v>114</v>
      </c>
      <c r="F116" s="6">
        <f t="shared" si="16"/>
        <v>28.5</v>
      </c>
      <c r="G116" s="6">
        <f t="shared" si="18"/>
        <v>6.8729496089244213</v>
      </c>
      <c r="H116" s="6">
        <f t="shared" si="19"/>
        <v>514.96149374459765</v>
      </c>
      <c r="I116" s="6">
        <f t="shared" si="20"/>
        <v>6.4315005586794074</v>
      </c>
      <c r="J116" s="6">
        <f t="shared" si="21"/>
        <v>785.03850625540304</v>
      </c>
      <c r="K116" s="6">
        <f t="shared" si="22"/>
        <v>4.9092497206603003</v>
      </c>
      <c r="L116" s="6">
        <f t="shared" si="23"/>
        <v>564.3735541613363</v>
      </c>
      <c r="M116" s="6">
        <f t="shared" si="17"/>
        <v>1.4021661765430478</v>
      </c>
      <c r="N116" s="6">
        <f t="shared" si="24"/>
        <v>1.9636998882641203</v>
      </c>
      <c r="O116" s="6">
        <f t="shared" si="25"/>
        <v>336.93411973349816</v>
      </c>
      <c r="P116" s="6">
        <f>SUM($G$2:G116)</f>
        <v>851.30767389483447</v>
      </c>
      <c r="Q116" s="6">
        <f t="shared" si="26"/>
        <v>1864.3735541613362</v>
      </c>
      <c r="R116" s="6">
        <f t="shared" si="27"/>
        <v>1864.3735541613369</v>
      </c>
      <c r="S116" s="6">
        <f t="shared" si="28"/>
        <v>0</v>
      </c>
    </row>
    <row r="117" spans="5:19" x14ac:dyDescent="0.3">
      <c r="E117" s="2">
        <v>115</v>
      </c>
      <c r="F117" s="6">
        <f t="shared" si="16"/>
        <v>28.75</v>
      </c>
      <c r="G117" s="6">
        <f t="shared" si="18"/>
        <v>6.8690869297347774</v>
      </c>
      <c r="H117" s="6">
        <f t="shared" si="19"/>
        <v>515.39356200252496</v>
      </c>
      <c r="I117" s="6">
        <f t="shared" si="20"/>
        <v>6.4370186718074702</v>
      </c>
      <c r="J117" s="6">
        <f t="shared" si="21"/>
        <v>784.60643799747572</v>
      </c>
      <c r="K117" s="6">
        <f t="shared" si="22"/>
        <v>4.9064906640962693</v>
      </c>
      <c r="L117" s="6">
        <f t="shared" si="23"/>
        <v>567.86911094002926</v>
      </c>
      <c r="M117" s="6">
        <f t="shared" si="17"/>
        <v>1.4109338854033409</v>
      </c>
      <c r="N117" s="6">
        <f t="shared" si="24"/>
        <v>1.9625962656385076</v>
      </c>
      <c r="O117" s="6">
        <f t="shared" si="25"/>
        <v>340.30764988454001</v>
      </c>
      <c r="P117" s="6">
        <f>SUM($G$2:G117)</f>
        <v>858.17676082456921</v>
      </c>
      <c r="Q117" s="6">
        <f t="shared" si="26"/>
        <v>1867.869110940029</v>
      </c>
      <c r="R117" s="6">
        <f t="shared" si="27"/>
        <v>1867.8691109400299</v>
      </c>
      <c r="S117" s="6">
        <f t="shared" si="28"/>
        <v>0</v>
      </c>
    </row>
    <row r="118" spans="5:19" x14ac:dyDescent="0.3">
      <c r="E118" s="2">
        <v>116</v>
      </c>
      <c r="F118" s="6">
        <f t="shared" si="16"/>
        <v>29</v>
      </c>
      <c r="G118" s="6">
        <f t="shared" si="18"/>
        <v>6.8653063324779131</v>
      </c>
      <c r="H118" s="6">
        <f t="shared" si="19"/>
        <v>515.81644880997135</v>
      </c>
      <c r="I118" s="6">
        <f t="shared" si="20"/>
        <v>6.4424195250315623</v>
      </c>
      <c r="J118" s="6">
        <f t="shared" si="21"/>
        <v>784.18355119002933</v>
      </c>
      <c r="K118" s="6">
        <f t="shared" si="22"/>
        <v>4.9037902374842233</v>
      </c>
      <c r="L118" s="6">
        <f t="shared" si="23"/>
        <v>571.3532284001634</v>
      </c>
      <c r="M118" s="6">
        <f t="shared" si="17"/>
        <v>1.4196727773500732</v>
      </c>
      <c r="N118" s="6">
        <f t="shared" si="24"/>
        <v>1.9615160949936894</v>
      </c>
      <c r="O118" s="6">
        <f t="shared" si="25"/>
        <v>343.68883875688374</v>
      </c>
      <c r="P118" s="6">
        <f>SUM($G$2:G118)</f>
        <v>865.04206715704709</v>
      </c>
      <c r="Q118" s="6">
        <f t="shared" si="26"/>
        <v>1871.3532284001635</v>
      </c>
      <c r="R118" s="6">
        <f t="shared" si="27"/>
        <v>1871.353228400164</v>
      </c>
      <c r="S118" s="6">
        <f t="shared" si="28"/>
        <v>0</v>
      </c>
    </row>
    <row r="119" spans="5:19" x14ac:dyDescent="0.3">
      <c r="E119" s="2">
        <v>117</v>
      </c>
      <c r="F119" s="6">
        <f t="shared" si="16"/>
        <v>29.25</v>
      </c>
      <c r="G119" s="6">
        <f t="shared" si="18"/>
        <v>6.8616060729127577</v>
      </c>
      <c r="H119" s="6">
        <f t="shared" si="19"/>
        <v>516.23034927275944</v>
      </c>
      <c r="I119" s="6">
        <f t="shared" si="20"/>
        <v>6.4477056101246415</v>
      </c>
      <c r="J119" s="6">
        <f t="shared" si="21"/>
        <v>783.76965072724124</v>
      </c>
      <c r="K119" s="6">
        <f t="shared" si="22"/>
        <v>4.9011471949376837</v>
      </c>
      <c r="L119" s="6">
        <f t="shared" si="23"/>
        <v>574.82599252410068</v>
      </c>
      <c r="M119" s="6">
        <f t="shared" si="17"/>
        <v>1.4283830710004086</v>
      </c>
      <c r="N119" s="6">
        <f t="shared" si="24"/>
        <v>1.9604588779750733</v>
      </c>
      <c r="O119" s="6">
        <f t="shared" si="25"/>
        <v>347.07768070585922</v>
      </c>
      <c r="P119" s="6">
        <f>SUM($G$2:G119)</f>
        <v>871.90367322995985</v>
      </c>
      <c r="Q119" s="6">
        <f t="shared" si="26"/>
        <v>1874.8259925241009</v>
      </c>
      <c r="R119" s="6">
        <f t="shared" si="27"/>
        <v>1874.8259925241014</v>
      </c>
      <c r="S119" s="6">
        <f t="shared" si="28"/>
        <v>0</v>
      </c>
    </row>
    <row r="120" spans="5:19" x14ac:dyDescent="0.3">
      <c r="E120" s="2">
        <v>118</v>
      </c>
      <c r="F120" s="6">
        <f t="shared" si="16"/>
        <v>29.5</v>
      </c>
      <c r="G120" s="6">
        <f t="shared" si="18"/>
        <v>6.8579844438633613</v>
      </c>
      <c r="H120" s="6">
        <f t="shared" si="19"/>
        <v>516.6354543507133</v>
      </c>
      <c r="I120" s="6">
        <f t="shared" si="20"/>
        <v>6.4528793659094932</v>
      </c>
      <c r="J120" s="6">
        <f t="shared" si="21"/>
        <v>783.36454564928727</v>
      </c>
      <c r="K120" s="6">
        <f t="shared" si="22"/>
        <v>4.8985603170452574</v>
      </c>
      <c r="L120" s="6">
        <f t="shared" si="23"/>
        <v>578.28748785983566</v>
      </c>
      <c r="M120" s="6">
        <f t="shared" si="17"/>
        <v>1.4370649813102518</v>
      </c>
      <c r="N120" s="6">
        <f t="shared" si="24"/>
        <v>1.9594241268181032</v>
      </c>
      <c r="O120" s="6">
        <f t="shared" si="25"/>
        <v>350.47416981398754</v>
      </c>
      <c r="P120" s="6">
        <f>SUM($G$2:G120)</f>
        <v>878.76165767382327</v>
      </c>
      <c r="Q120" s="6">
        <f t="shared" si="26"/>
        <v>1878.2874878598357</v>
      </c>
      <c r="R120" s="6">
        <f t="shared" si="27"/>
        <v>1878.2874878598361</v>
      </c>
      <c r="S120" s="6">
        <f t="shared" si="28"/>
        <v>0</v>
      </c>
    </row>
    <row r="121" spans="5:19" x14ac:dyDescent="0.3">
      <c r="E121" s="2">
        <v>119</v>
      </c>
      <c r="F121" s="6">
        <f t="shared" si="16"/>
        <v>29.75</v>
      </c>
      <c r="G121" s="6">
        <f t="shared" si="18"/>
        <v>6.8544397744312642</v>
      </c>
      <c r="H121" s="6">
        <f t="shared" si="19"/>
        <v>517.03195094576063</v>
      </c>
      <c r="I121" s="6">
        <f t="shared" si="20"/>
        <v>6.4579431793839159</v>
      </c>
      <c r="J121" s="6">
        <f t="shared" si="21"/>
        <v>782.96804905423994</v>
      </c>
      <c r="K121" s="6">
        <f t="shared" si="22"/>
        <v>4.8960284103080456</v>
      </c>
      <c r="L121" s="6">
        <f t="shared" si="23"/>
        <v>581.73779755049407</v>
      </c>
      <c r="M121" s="6">
        <f t="shared" si="17"/>
        <v>1.4457187196495891</v>
      </c>
      <c r="N121" s="6">
        <f t="shared" si="24"/>
        <v>1.9584113641232181</v>
      </c>
      <c r="O121" s="6">
        <f t="shared" si="25"/>
        <v>353.87829989776031</v>
      </c>
      <c r="P121" s="6">
        <f>SUM($G$2:G121)</f>
        <v>885.61609744825455</v>
      </c>
      <c r="Q121" s="6">
        <f t="shared" si="26"/>
        <v>1881.7377975504942</v>
      </c>
      <c r="R121" s="6">
        <f t="shared" si="27"/>
        <v>1881.7377975504946</v>
      </c>
      <c r="S121" s="6">
        <f t="shared" si="28"/>
        <v>0</v>
      </c>
    </row>
    <row r="122" spans="5:19" x14ac:dyDescent="0.3">
      <c r="E122" s="2">
        <v>120</v>
      </c>
      <c r="F122" s="6">
        <f t="shared" si="16"/>
        <v>30</v>
      </c>
      <c r="G122" s="6">
        <f t="shared" si="18"/>
        <v>6.8509704292246001</v>
      </c>
      <c r="H122" s="6">
        <f t="shared" si="19"/>
        <v>517.42002198816317</v>
      </c>
      <c r="I122" s="6">
        <f t="shared" si="20"/>
        <v>6.4628993868220075</v>
      </c>
      <c r="J122" s="6">
        <f t="shared" si="21"/>
        <v>782.57997801183728</v>
      </c>
      <c r="K122" s="6">
        <f t="shared" si="22"/>
        <v>4.8935503065889998</v>
      </c>
      <c r="L122" s="6">
        <f t="shared" si="23"/>
        <v>585.17700336320684</v>
      </c>
      <c r="M122" s="6">
        <f t="shared" si="17"/>
        <v>1.4543444938762351</v>
      </c>
      <c r="N122" s="6">
        <f t="shared" si="24"/>
        <v>1.9574201226355998</v>
      </c>
      <c r="O122" s="6">
        <f t="shared" si="25"/>
        <v>357.29006451427216</v>
      </c>
      <c r="P122" s="6">
        <f>SUM($G$2:G122)</f>
        <v>892.46706787747917</v>
      </c>
      <c r="Q122" s="6">
        <f t="shared" si="26"/>
        <v>1885.1770033632069</v>
      </c>
      <c r="R122" s="6">
        <f t="shared" si="27"/>
        <v>1885.1770033632074</v>
      </c>
      <c r="S122" s="6">
        <f t="shared" si="28"/>
        <v>0</v>
      </c>
    </row>
    <row r="123" spans="5:19" x14ac:dyDescent="0.3">
      <c r="E123" s="2">
        <v>121</v>
      </c>
      <c r="F123" s="6">
        <f t="shared" si="16"/>
        <v>30.25</v>
      </c>
      <c r="G123" s="6">
        <f t="shared" si="18"/>
        <v>6.8475748076035767</v>
      </c>
      <c r="H123" s="6">
        <f t="shared" si="19"/>
        <v>517.79984652091468</v>
      </c>
      <c r="I123" s="6">
        <f t="shared" si="20"/>
        <v>6.4677502748520395</v>
      </c>
      <c r="J123" s="6">
        <f t="shared" si="21"/>
        <v>782.20015347908577</v>
      </c>
      <c r="K123" s="6">
        <f t="shared" si="22"/>
        <v>4.8911248625739834</v>
      </c>
      <c r="L123" s="6">
        <f t="shared" si="23"/>
        <v>588.60518571737282</v>
      </c>
      <c r="M123" s="6">
        <f t="shared" si="17"/>
        <v>1.4629425084080172</v>
      </c>
      <c r="N123" s="6">
        <f t="shared" si="24"/>
        <v>1.9564499450295934</v>
      </c>
      <c r="O123" s="6">
        <f t="shared" si="25"/>
        <v>360.70945696770974</v>
      </c>
      <c r="P123" s="6">
        <f>SUM($G$2:G123)</f>
        <v>899.31464268508273</v>
      </c>
      <c r="Q123" s="6">
        <f t="shared" si="26"/>
        <v>1888.6051857173729</v>
      </c>
      <c r="R123" s="6">
        <f t="shared" si="27"/>
        <v>1888.6051857173734</v>
      </c>
      <c r="S123" s="6">
        <f t="shared" si="28"/>
        <v>0</v>
      </c>
    </row>
    <row r="124" spans="5:19" x14ac:dyDescent="0.3">
      <c r="E124" s="2">
        <v>122</v>
      </c>
      <c r="F124" s="6">
        <f t="shared" si="16"/>
        <v>30.5</v>
      </c>
      <c r="G124" s="6">
        <f t="shared" si="18"/>
        <v>6.8442513429420009</v>
      </c>
      <c r="H124" s="6">
        <f t="shared" si="19"/>
        <v>518.1715997823452</v>
      </c>
      <c r="I124" s="6">
        <f t="shared" si="20"/>
        <v>6.4724980815114339</v>
      </c>
      <c r="J124" s="6">
        <f t="shared" si="21"/>
        <v>781.82840021765514</v>
      </c>
      <c r="K124" s="6">
        <f t="shared" si="22"/>
        <v>4.8887509592442857</v>
      </c>
      <c r="L124" s="6">
        <f t="shared" si="23"/>
        <v>592.02242371232364</v>
      </c>
      <c r="M124" s="6">
        <f t="shared" si="17"/>
        <v>1.4715129642934321</v>
      </c>
      <c r="N124" s="6">
        <f t="shared" si="24"/>
        <v>1.9555003836977145</v>
      </c>
      <c r="O124" s="6">
        <f t="shared" si="25"/>
        <v>364.13647031570088</v>
      </c>
      <c r="P124" s="6">
        <f>SUM($G$2:G124)</f>
        <v>906.15889402802475</v>
      </c>
      <c r="Q124" s="6">
        <f t="shared" si="26"/>
        <v>1892.0224237123239</v>
      </c>
      <c r="R124" s="6">
        <f t="shared" si="27"/>
        <v>1892.0224237123241</v>
      </c>
      <c r="S124" s="6">
        <f t="shared" si="28"/>
        <v>0</v>
      </c>
    </row>
    <row r="125" spans="5:19" x14ac:dyDescent="0.3">
      <c r="E125" s="2">
        <v>123</v>
      </c>
      <c r="F125" s="6">
        <f t="shared" si="16"/>
        <v>30.75</v>
      </c>
      <c r="G125" s="6">
        <f t="shared" si="18"/>
        <v>6.8409985019044832</v>
      </c>
      <c r="H125" s="6">
        <f t="shared" si="19"/>
        <v>518.53545328697032</v>
      </c>
      <c r="I125" s="6">
        <f t="shared" si="20"/>
        <v>6.4771449972793151</v>
      </c>
      <c r="J125" s="6">
        <f t="shared" si="21"/>
        <v>781.46454671303002</v>
      </c>
      <c r="K125" s="6">
        <f t="shared" si="22"/>
        <v>4.8864275013603446</v>
      </c>
      <c r="L125" s="6">
        <f t="shared" si="23"/>
        <v>595.42879515440313</v>
      </c>
      <c r="M125" s="6">
        <f t="shared" si="17"/>
        <v>1.4800560592808092</v>
      </c>
      <c r="N125" s="6">
        <f t="shared" si="24"/>
        <v>1.9545710005441379</v>
      </c>
      <c r="O125" s="6">
        <f t="shared" si="25"/>
        <v>367.57109737552582</v>
      </c>
      <c r="P125" s="6">
        <f>SUM($G$2:G125)</f>
        <v>912.99989252992918</v>
      </c>
      <c r="Q125" s="6">
        <f t="shared" si="26"/>
        <v>1895.4287951544034</v>
      </c>
      <c r="R125" s="6">
        <f t="shared" si="27"/>
        <v>1895.4287951544036</v>
      </c>
      <c r="S125" s="6">
        <f t="shared" si="28"/>
        <v>0</v>
      </c>
    </row>
    <row r="126" spans="5:19" x14ac:dyDescent="0.3">
      <c r="E126" s="2">
        <v>124</v>
      </c>
      <c r="F126" s="6">
        <f t="shared" si="16"/>
        <v>31</v>
      </c>
      <c r="G126" s="6">
        <f t="shared" si="18"/>
        <v>6.8378147837390131</v>
      </c>
      <c r="H126" s="6">
        <f t="shared" si="19"/>
        <v>518.89157490462219</v>
      </c>
      <c r="I126" s="6">
        <f t="shared" si="20"/>
        <v>6.4816931660871289</v>
      </c>
      <c r="J126" s="6">
        <f t="shared" si="21"/>
        <v>781.10842509537804</v>
      </c>
      <c r="K126" s="6">
        <f t="shared" si="22"/>
        <v>4.8841534169564378</v>
      </c>
      <c r="L126" s="6">
        <f t="shared" si="23"/>
        <v>598.82437658347351</v>
      </c>
      <c r="M126" s="6">
        <f t="shared" si="17"/>
        <v>1.4885719878860078</v>
      </c>
      <c r="N126" s="6">
        <f t="shared" si="24"/>
        <v>1.9536613667825751</v>
      </c>
      <c r="O126" s="6">
        <f t="shared" si="25"/>
        <v>371.01333073019441</v>
      </c>
      <c r="P126" s="6">
        <f>SUM($G$2:G126)</f>
        <v>919.83770731366815</v>
      </c>
      <c r="Q126" s="6">
        <f t="shared" si="26"/>
        <v>1898.8243765834736</v>
      </c>
      <c r="R126" s="6">
        <f t="shared" si="27"/>
        <v>1898.8243765834736</v>
      </c>
      <c r="S126" s="6">
        <f t="shared" si="28"/>
        <v>0</v>
      </c>
    </row>
    <row r="127" spans="5:19" x14ac:dyDescent="0.3">
      <c r="E127" s="2">
        <v>125</v>
      </c>
      <c r="F127" s="6">
        <f t="shared" si="16"/>
        <v>31.25</v>
      </c>
      <c r="G127" s="6">
        <f t="shared" si="18"/>
        <v>6.8346987195845585</v>
      </c>
      <c r="H127" s="6">
        <f t="shared" si="19"/>
        <v>519.24012893789893</v>
      </c>
      <c r="I127" s="6">
        <f t="shared" si="20"/>
        <v>6.4861446863077772</v>
      </c>
      <c r="J127" s="6">
        <f t="shared" si="21"/>
        <v>780.7598710621013</v>
      </c>
      <c r="K127" s="6">
        <f t="shared" si="22"/>
        <v>4.8819276568461127</v>
      </c>
      <c r="L127" s="6">
        <f t="shared" si="23"/>
        <v>602.20924329886088</v>
      </c>
      <c r="M127" s="6">
        <f t="shared" si="17"/>
        <v>1.4970609414586837</v>
      </c>
      <c r="N127" s="6">
        <f t="shared" si="24"/>
        <v>1.9527710627384451</v>
      </c>
      <c r="O127" s="6">
        <f t="shared" si="25"/>
        <v>374.46316273439157</v>
      </c>
      <c r="P127" s="6">
        <f>SUM($G$2:G127)</f>
        <v>926.67240603325274</v>
      </c>
      <c r="Q127" s="6">
        <f t="shared" si="26"/>
        <v>1902.2092432988611</v>
      </c>
      <c r="R127" s="6">
        <f t="shared" si="27"/>
        <v>1902.2092432988611</v>
      </c>
      <c r="S127" s="6">
        <f t="shared" si="28"/>
        <v>0</v>
      </c>
    </row>
    <row r="128" spans="5:19" x14ac:dyDescent="0.3">
      <c r="E128" s="2">
        <v>126</v>
      </c>
      <c r="F128" s="6">
        <f t="shared" si="16"/>
        <v>31.5</v>
      </c>
      <c r="G128" s="6">
        <f t="shared" si="18"/>
        <v>6.8316488717933872</v>
      </c>
      <c r="H128" s="6">
        <f t="shared" si="19"/>
        <v>519.58127619796858</v>
      </c>
      <c r="I128" s="6">
        <f t="shared" si="20"/>
        <v>6.4905016117237366</v>
      </c>
      <c r="J128" s="6">
        <f t="shared" si="21"/>
        <v>780.41872380203165</v>
      </c>
      <c r="K128" s="6">
        <f t="shared" si="22"/>
        <v>4.8797491941381335</v>
      </c>
      <c r="L128" s="6">
        <f t="shared" si="23"/>
        <v>605.58346938475188</v>
      </c>
      <c r="M128" s="6">
        <f t="shared" si="17"/>
        <v>1.5055231082471523</v>
      </c>
      <c r="N128" s="6">
        <f t="shared" si="24"/>
        <v>1.9518996776552533</v>
      </c>
      <c r="O128" s="6">
        <f t="shared" si="25"/>
        <v>377.92058552029397</v>
      </c>
      <c r="P128" s="6">
        <f>SUM($G$2:G128)</f>
        <v>933.50405490504613</v>
      </c>
      <c r="Q128" s="6">
        <f t="shared" si="26"/>
        <v>1905.5834693847523</v>
      </c>
      <c r="R128" s="6">
        <f t="shared" si="27"/>
        <v>1905.5834693847521</v>
      </c>
      <c r="S128" s="6">
        <f t="shared" si="28"/>
        <v>0</v>
      </c>
    </row>
    <row r="129" spans="5:19" x14ac:dyDescent="0.3">
      <c r="E129" s="2">
        <v>127</v>
      </c>
      <c r="F129" s="6">
        <f t="shared" si="16"/>
        <v>31.75</v>
      </c>
      <c r="G129" s="6">
        <f t="shared" si="18"/>
        <v>6.8286638332677772</v>
      </c>
      <c r="H129" s="6">
        <f t="shared" si="19"/>
        <v>519.91517407876177</v>
      </c>
      <c r="I129" s="6">
        <f t="shared" si="20"/>
        <v>6.4947659524746069</v>
      </c>
      <c r="J129" s="6">
        <f t="shared" si="21"/>
        <v>780.08482592123846</v>
      </c>
      <c r="K129" s="6">
        <f t="shared" si="22"/>
        <v>4.8776170237626975</v>
      </c>
      <c r="L129" s="6">
        <f t="shared" si="23"/>
        <v>608.94712773505273</v>
      </c>
      <c r="M129" s="6">
        <f t="shared" si="17"/>
        <v>1.5139586734618797</v>
      </c>
      <c r="N129" s="6">
        <f t="shared" si="24"/>
        <v>1.9510468095050792</v>
      </c>
      <c r="O129" s="6">
        <f t="shared" si="25"/>
        <v>381.38559100326097</v>
      </c>
      <c r="P129" s="6">
        <f>SUM($G$2:G129)</f>
        <v>940.33271873831393</v>
      </c>
      <c r="Q129" s="6">
        <f t="shared" si="26"/>
        <v>1908.9471277350528</v>
      </c>
      <c r="R129" s="6">
        <f t="shared" si="27"/>
        <v>1908.9471277350531</v>
      </c>
      <c r="S129" s="6">
        <f t="shared" si="28"/>
        <v>0</v>
      </c>
    </row>
    <row r="130" spans="5:19" x14ac:dyDescent="0.3">
      <c r="E130" s="2">
        <v>128</v>
      </c>
      <c r="F130" s="6">
        <f t="shared" ref="F130:F193" si="29">E130*$B$2</f>
        <v>32</v>
      </c>
      <c r="G130" s="6">
        <f t="shared" si="18"/>
        <v>6.8257422268108368</v>
      </c>
      <c r="H130" s="6">
        <f t="shared" si="19"/>
        <v>520.24197662958807</v>
      </c>
      <c r="I130" s="6">
        <f t="shared" si="20"/>
        <v>6.4989396759845217</v>
      </c>
      <c r="J130" s="6">
        <f t="shared" si="21"/>
        <v>779.75802337041216</v>
      </c>
      <c r="K130" s="6">
        <f t="shared" si="22"/>
        <v>4.87553016200774</v>
      </c>
      <c r="L130" s="6">
        <f t="shared" si="23"/>
        <v>612.30029007772282</v>
      </c>
      <c r="M130" s="6">
        <f t="shared" si="17"/>
        <v>1.5223678193376318</v>
      </c>
      <c r="N130" s="6">
        <f t="shared" si="24"/>
        <v>1.9502120648030963</v>
      </c>
      <c r="O130" s="6">
        <f t="shared" si="25"/>
        <v>384.85817088740174</v>
      </c>
      <c r="P130" s="6">
        <f>SUM($G$2:G130)</f>
        <v>947.15846096512473</v>
      </c>
      <c r="Q130" s="6">
        <f t="shared" si="26"/>
        <v>1912.3002900777228</v>
      </c>
      <c r="R130" s="6">
        <f t="shared" si="27"/>
        <v>1912.300290077723</v>
      </c>
      <c r="S130" s="6">
        <f t="shared" si="28"/>
        <v>0</v>
      </c>
    </row>
    <row r="131" spans="5:19" x14ac:dyDescent="0.3">
      <c r="E131" s="2">
        <v>129</v>
      </c>
      <c r="F131" s="6">
        <f t="shared" si="29"/>
        <v>32.25</v>
      </c>
      <c r="G131" s="6">
        <f t="shared" si="18"/>
        <v>6.8228827044911071</v>
      </c>
      <c r="H131" s="6">
        <f t="shared" si="19"/>
        <v>520.56183462620936</v>
      </c>
      <c r="I131" s="6">
        <f t="shared" si="20"/>
        <v>6.5030247078698507</v>
      </c>
      <c r="J131" s="6">
        <f t="shared" si="21"/>
        <v>779.43816537379087</v>
      </c>
      <c r="K131" s="6">
        <f t="shared" si="22"/>
        <v>4.873487646065076</v>
      </c>
      <c r="L131" s="6">
        <f t="shared" si="23"/>
        <v>615.64302699859354</v>
      </c>
      <c r="M131" s="6">
        <f t="shared" ref="M131:M194" si="30">L130*$B$8*$B$2</f>
        <v>1.5307507251943071</v>
      </c>
      <c r="N131" s="6">
        <f t="shared" si="24"/>
        <v>1.9493950584260304</v>
      </c>
      <c r="O131" s="6">
        <f t="shared" si="25"/>
        <v>388.33831667102208</v>
      </c>
      <c r="P131" s="6">
        <f>SUM($G$2:G131)</f>
        <v>953.98134366961585</v>
      </c>
      <c r="Q131" s="6">
        <f t="shared" si="26"/>
        <v>1915.6430269985938</v>
      </c>
      <c r="R131" s="6">
        <f t="shared" si="27"/>
        <v>1915.6430269985938</v>
      </c>
      <c r="S131" s="6">
        <f t="shared" si="28"/>
        <v>0</v>
      </c>
    </row>
    <row r="132" spans="5:19" x14ac:dyDescent="0.3">
      <c r="E132" s="2">
        <v>130</v>
      </c>
      <c r="F132" s="6">
        <f t="shared" si="29"/>
        <v>32.5</v>
      </c>
      <c r="G132" s="6">
        <f t="shared" ref="G132:G195" si="31">J131*$B$7*$B$2</f>
        <v>6.8200839470206711</v>
      </c>
      <c r="H132" s="6">
        <f t="shared" ref="H132:H195" si="32">H131+(G132-I132)</f>
        <v>520.87489564040243</v>
      </c>
      <c r="I132" s="6">
        <f t="shared" ref="I132:I195" si="33">H131*$B$2/$B$10</f>
        <v>6.507022932827617</v>
      </c>
      <c r="J132" s="6">
        <f t="shared" ref="J132:J195" si="34">J131+I132-K132-N132</f>
        <v>779.12510435959769</v>
      </c>
      <c r="K132" s="6">
        <f t="shared" ref="K132:K195" si="35">J131*$B$2/$B$11</f>
        <v>4.8714885335861933</v>
      </c>
      <c r="L132" s="6">
        <f t="shared" ref="L132:L195" si="36">L131+(K132-M132)</f>
        <v>618.9754079646832</v>
      </c>
      <c r="M132" s="6">
        <f t="shared" si="30"/>
        <v>1.5391075674964838</v>
      </c>
      <c r="N132" s="6">
        <f t="shared" ref="N132:N195" si="37">J131*$B$9*$B$2</f>
        <v>1.9485954134344772</v>
      </c>
      <c r="O132" s="6">
        <f t="shared" ref="O132:O195" si="38">O131+M132+N132</f>
        <v>391.82601965195306</v>
      </c>
      <c r="P132" s="6">
        <f>SUM($G$2:G132)</f>
        <v>960.80142761663649</v>
      </c>
      <c r="Q132" s="6">
        <f t="shared" ref="Q132:Q195" si="39">$B$3+P132-O132</f>
        <v>1918.9754079646832</v>
      </c>
      <c r="R132" s="6">
        <f t="shared" ref="R132:R195" si="40">H132+J132+L132</f>
        <v>1918.9754079646832</v>
      </c>
      <c r="S132" s="6">
        <f t="shared" ref="S132:S195" si="41">Q132-R132</f>
        <v>0</v>
      </c>
    </row>
    <row r="133" spans="5:19" x14ac:dyDescent="0.3">
      <c r="E133" s="2">
        <v>131</v>
      </c>
      <c r="F133" s="6">
        <f t="shared" si="29"/>
        <v>32.75</v>
      </c>
      <c r="G133" s="6">
        <f t="shared" si="31"/>
        <v>6.8173446631464802</v>
      </c>
      <c r="H133" s="6">
        <f t="shared" si="32"/>
        <v>521.18130410804383</v>
      </c>
      <c r="I133" s="6">
        <f t="shared" si="33"/>
        <v>6.51093619550503</v>
      </c>
      <c r="J133" s="6">
        <f t="shared" si="34"/>
        <v>778.81869589195628</v>
      </c>
      <c r="K133" s="6">
        <f t="shared" si="35"/>
        <v>4.8695319022474859</v>
      </c>
      <c r="L133" s="6">
        <f t="shared" si="36"/>
        <v>622.29750134701897</v>
      </c>
      <c r="M133" s="6">
        <f t="shared" si="30"/>
        <v>1.547438519911708</v>
      </c>
      <c r="N133" s="6">
        <f t="shared" si="37"/>
        <v>1.9478127608989944</v>
      </c>
      <c r="O133" s="6">
        <f t="shared" si="38"/>
        <v>395.32127093276375</v>
      </c>
      <c r="P133" s="6">
        <f>SUM($G$2:G133)</f>
        <v>967.618772279783</v>
      </c>
      <c r="Q133" s="6">
        <f t="shared" si="39"/>
        <v>1922.2975013470193</v>
      </c>
      <c r="R133" s="6">
        <f t="shared" si="40"/>
        <v>1922.2975013470191</v>
      </c>
      <c r="S133" s="6">
        <f t="shared" si="41"/>
        <v>0</v>
      </c>
    </row>
    <row r="134" spans="5:19" x14ac:dyDescent="0.3">
      <c r="E134" s="2">
        <v>132</v>
      </c>
      <c r="F134" s="6">
        <f t="shared" si="29"/>
        <v>33</v>
      </c>
      <c r="G134" s="6">
        <f t="shared" si="31"/>
        <v>6.8146635890546179</v>
      </c>
      <c r="H134" s="6">
        <f t="shared" si="32"/>
        <v>521.48120139574792</v>
      </c>
      <c r="I134" s="6">
        <f t="shared" si="33"/>
        <v>6.5147663013505479</v>
      </c>
      <c r="J134" s="6">
        <f t="shared" si="34"/>
        <v>778.5187986042522</v>
      </c>
      <c r="K134" s="6">
        <f t="shared" si="35"/>
        <v>4.8676168493247269</v>
      </c>
      <c r="L134" s="6">
        <f t="shared" si="36"/>
        <v>625.6093744429761</v>
      </c>
      <c r="M134" s="6">
        <f t="shared" si="30"/>
        <v>1.5557437533675476</v>
      </c>
      <c r="N134" s="6">
        <f t="shared" si="37"/>
        <v>1.9470467397298907</v>
      </c>
      <c r="O134" s="6">
        <f t="shared" si="38"/>
        <v>398.8240614258612</v>
      </c>
      <c r="P134" s="6">
        <f>SUM($G$2:G134)</f>
        <v>974.43343586883759</v>
      </c>
      <c r="Q134" s="6">
        <f t="shared" si="39"/>
        <v>1925.6093744429763</v>
      </c>
      <c r="R134" s="6">
        <f t="shared" si="40"/>
        <v>1925.6093744429761</v>
      </c>
      <c r="S134" s="6">
        <f t="shared" si="41"/>
        <v>0</v>
      </c>
    </row>
    <row r="135" spans="5:19" x14ac:dyDescent="0.3">
      <c r="E135" s="2">
        <v>133</v>
      </c>
      <c r="F135" s="6">
        <f t="shared" si="29"/>
        <v>33.25</v>
      </c>
      <c r="G135" s="6">
        <f t="shared" si="31"/>
        <v>6.8120394877872075</v>
      </c>
      <c r="H135" s="6">
        <f t="shared" si="32"/>
        <v>521.77472586608826</v>
      </c>
      <c r="I135" s="6">
        <f t="shared" si="33"/>
        <v>6.5185150174468491</v>
      </c>
      <c r="J135" s="6">
        <f t="shared" si="34"/>
        <v>778.22527413391174</v>
      </c>
      <c r="K135" s="6">
        <f t="shared" si="35"/>
        <v>4.8657424912765759</v>
      </c>
      <c r="L135" s="6">
        <f t="shared" si="36"/>
        <v>628.91109349814519</v>
      </c>
      <c r="M135" s="6">
        <f t="shared" si="30"/>
        <v>1.5640234361074403</v>
      </c>
      <c r="N135" s="6">
        <f t="shared" si="37"/>
        <v>1.9462969965106305</v>
      </c>
      <c r="O135" s="6">
        <f t="shared" si="38"/>
        <v>402.33438185847928</v>
      </c>
      <c r="P135" s="6">
        <f>SUM($G$2:G135)</f>
        <v>981.24547535662475</v>
      </c>
      <c r="Q135" s="6">
        <f t="shared" si="39"/>
        <v>1928.9110934981456</v>
      </c>
      <c r="R135" s="6">
        <f t="shared" si="40"/>
        <v>1928.9110934981452</v>
      </c>
      <c r="S135" s="6">
        <f t="shared" si="41"/>
        <v>0</v>
      </c>
    </row>
    <row r="136" spans="5:19" x14ac:dyDescent="0.3">
      <c r="E136" s="2">
        <v>134</v>
      </c>
      <c r="F136" s="6">
        <f t="shared" si="29"/>
        <v>33.5</v>
      </c>
      <c r="G136" s="6">
        <f t="shared" si="31"/>
        <v>6.8094711486717285</v>
      </c>
      <c r="H136" s="6">
        <f t="shared" si="32"/>
        <v>522.06201294143386</v>
      </c>
      <c r="I136" s="6">
        <f t="shared" si="33"/>
        <v>6.5221840733261036</v>
      </c>
      <c r="J136" s="6">
        <f t="shared" si="34"/>
        <v>777.93798705856614</v>
      </c>
      <c r="K136" s="6">
        <f t="shared" si="35"/>
        <v>4.8639079633369482</v>
      </c>
      <c r="L136" s="6">
        <f t="shared" si="36"/>
        <v>632.20272372773672</v>
      </c>
      <c r="M136" s="6">
        <f t="shared" si="30"/>
        <v>1.5722777337453631</v>
      </c>
      <c r="N136" s="6">
        <f t="shared" si="37"/>
        <v>1.9455631853347795</v>
      </c>
      <c r="O136" s="6">
        <f t="shared" si="38"/>
        <v>405.8522227775594</v>
      </c>
      <c r="P136" s="6">
        <f>SUM($G$2:G136)</f>
        <v>988.05494650529647</v>
      </c>
      <c r="Q136" s="6">
        <f t="shared" si="39"/>
        <v>1932.2027237277371</v>
      </c>
      <c r="R136" s="6">
        <f t="shared" si="40"/>
        <v>1932.2027237277366</v>
      </c>
      <c r="S136" s="6">
        <f t="shared" si="41"/>
        <v>0</v>
      </c>
    </row>
    <row r="137" spans="5:19" x14ac:dyDescent="0.3">
      <c r="E137" s="2">
        <v>135</v>
      </c>
      <c r="F137" s="6">
        <f t="shared" si="29"/>
        <v>33.75</v>
      </c>
      <c r="G137" s="6">
        <f t="shared" si="31"/>
        <v>6.8069573867624547</v>
      </c>
      <c r="H137" s="6">
        <f t="shared" si="32"/>
        <v>522.34319516642836</v>
      </c>
      <c r="I137" s="6">
        <f t="shared" si="33"/>
        <v>6.5257751617679229</v>
      </c>
      <c r="J137" s="6">
        <f t="shared" si="34"/>
        <v>777.65680483357164</v>
      </c>
      <c r="K137" s="6">
        <f t="shared" si="35"/>
        <v>4.8621124191160385</v>
      </c>
      <c r="L137" s="6">
        <f t="shared" si="36"/>
        <v>635.48432933753338</v>
      </c>
      <c r="M137" s="6">
        <f t="shared" si="30"/>
        <v>1.580506809319342</v>
      </c>
      <c r="N137" s="6">
        <f t="shared" si="37"/>
        <v>1.9448449676464155</v>
      </c>
      <c r="O137" s="6">
        <f t="shared" si="38"/>
        <v>409.37757455452515</v>
      </c>
      <c r="P137" s="6">
        <f>SUM($G$2:G137)</f>
        <v>994.86190389205888</v>
      </c>
      <c r="Q137" s="6">
        <f t="shared" si="39"/>
        <v>1935.4843293375336</v>
      </c>
      <c r="R137" s="6">
        <f t="shared" si="40"/>
        <v>1935.4843293375334</v>
      </c>
      <c r="S137" s="6">
        <f t="shared" si="41"/>
        <v>0</v>
      </c>
    </row>
    <row r="138" spans="5:19" x14ac:dyDescent="0.3">
      <c r="E138" s="2">
        <v>136</v>
      </c>
      <c r="F138" s="6">
        <f t="shared" si="29"/>
        <v>34</v>
      </c>
      <c r="G138" s="6">
        <f t="shared" si="31"/>
        <v>6.8044970422937521</v>
      </c>
      <c r="H138" s="6">
        <f t="shared" si="32"/>
        <v>522.61840226914171</v>
      </c>
      <c r="I138" s="6">
        <f t="shared" si="33"/>
        <v>6.5292899395803543</v>
      </c>
      <c r="J138" s="6">
        <f t="shared" si="34"/>
        <v>777.38159773085829</v>
      </c>
      <c r="K138" s="6">
        <f t="shared" si="35"/>
        <v>4.8603550302098224</v>
      </c>
      <c r="L138" s="6">
        <f t="shared" si="36"/>
        <v>638.75597354439935</v>
      </c>
      <c r="M138" s="6">
        <f t="shared" si="30"/>
        <v>1.5887108233438334</v>
      </c>
      <c r="N138" s="6">
        <f t="shared" si="37"/>
        <v>1.9441420120839292</v>
      </c>
      <c r="O138" s="6">
        <f t="shared" si="38"/>
        <v>412.91042738995293</v>
      </c>
      <c r="P138" s="6">
        <f>SUM($G$2:G138)</f>
        <v>1001.6664009343526</v>
      </c>
      <c r="Q138" s="6">
        <f t="shared" si="39"/>
        <v>1938.7559735443997</v>
      </c>
      <c r="R138" s="6">
        <f t="shared" si="40"/>
        <v>1938.7559735443992</v>
      </c>
      <c r="S138" s="6">
        <f t="shared" si="41"/>
        <v>0</v>
      </c>
    </row>
    <row r="139" spans="5:19" x14ac:dyDescent="0.3">
      <c r="E139" s="2">
        <v>137</v>
      </c>
      <c r="F139" s="6">
        <f t="shared" si="29"/>
        <v>34.25</v>
      </c>
      <c r="G139" s="6">
        <f t="shared" si="31"/>
        <v>6.8020889801450108</v>
      </c>
      <c r="H139" s="6">
        <f t="shared" si="32"/>
        <v>522.88776122092247</v>
      </c>
      <c r="I139" s="6">
        <f t="shared" si="33"/>
        <v>6.5327300283642717</v>
      </c>
      <c r="J139" s="6">
        <f t="shared" si="34"/>
        <v>777.11223877907764</v>
      </c>
      <c r="K139" s="6">
        <f t="shared" si="35"/>
        <v>4.8586349858178641</v>
      </c>
      <c r="L139" s="6">
        <f t="shared" si="36"/>
        <v>642.01771859635619</v>
      </c>
      <c r="M139" s="6">
        <f t="shared" si="30"/>
        <v>1.5968899338609983</v>
      </c>
      <c r="N139" s="6">
        <f t="shared" si="37"/>
        <v>1.9434539943271458</v>
      </c>
      <c r="O139" s="6">
        <f t="shared" si="38"/>
        <v>416.45077131814111</v>
      </c>
      <c r="P139" s="6">
        <f>SUM($G$2:G139)</f>
        <v>1008.4684899144976</v>
      </c>
      <c r="Q139" s="6">
        <f t="shared" si="39"/>
        <v>1942.0177185963566</v>
      </c>
      <c r="R139" s="6">
        <f t="shared" si="40"/>
        <v>1942.0177185963562</v>
      </c>
      <c r="S139" s="6">
        <f t="shared" si="41"/>
        <v>0</v>
      </c>
    </row>
    <row r="140" spans="5:19" x14ac:dyDescent="0.3">
      <c r="E140" s="2">
        <v>138</v>
      </c>
      <c r="F140" s="6">
        <f t="shared" si="29"/>
        <v>34.5</v>
      </c>
      <c r="G140" s="6">
        <f t="shared" si="31"/>
        <v>6.7997320893169304</v>
      </c>
      <c r="H140" s="6">
        <f t="shared" si="32"/>
        <v>523.15139629497787</v>
      </c>
      <c r="I140" s="6">
        <f t="shared" si="33"/>
        <v>6.5360970152615305</v>
      </c>
      <c r="J140" s="6">
        <f t="shared" si="34"/>
        <v>776.84860370502213</v>
      </c>
      <c r="K140" s="6">
        <f t="shared" si="35"/>
        <v>4.8569514923692356</v>
      </c>
      <c r="L140" s="6">
        <f t="shared" si="36"/>
        <v>645.26962579223448</v>
      </c>
      <c r="M140" s="6">
        <f t="shared" si="30"/>
        <v>1.6050442964908904</v>
      </c>
      <c r="N140" s="6">
        <f t="shared" si="37"/>
        <v>1.9427805969476941</v>
      </c>
      <c r="O140" s="6">
        <f t="shared" si="38"/>
        <v>419.9985962115797</v>
      </c>
      <c r="P140" s="6">
        <f>SUM($G$2:G140)</f>
        <v>1015.2682220038145</v>
      </c>
      <c r="Q140" s="6">
        <f t="shared" si="39"/>
        <v>1945.2696257922348</v>
      </c>
      <c r="R140" s="6">
        <f t="shared" si="40"/>
        <v>1945.2696257922344</v>
      </c>
      <c r="S140" s="6">
        <f t="shared" si="41"/>
        <v>0</v>
      </c>
    </row>
    <row r="141" spans="5:19" x14ac:dyDescent="0.3">
      <c r="E141" s="2">
        <v>139</v>
      </c>
      <c r="F141" s="6">
        <f t="shared" si="29"/>
        <v>34.75</v>
      </c>
      <c r="G141" s="6">
        <f t="shared" si="31"/>
        <v>6.7974252824189438</v>
      </c>
      <c r="H141" s="6">
        <f t="shared" si="32"/>
        <v>523.40942912370963</v>
      </c>
      <c r="I141" s="6">
        <f t="shared" si="33"/>
        <v>6.5393924536872232</v>
      </c>
      <c r="J141" s="6">
        <f t="shared" si="34"/>
        <v>776.59057087629049</v>
      </c>
      <c r="K141" s="6">
        <f t="shared" si="35"/>
        <v>4.8553037731563879</v>
      </c>
      <c r="L141" s="6">
        <f t="shared" si="36"/>
        <v>648.51175550091023</v>
      </c>
      <c r="M141" s="6">
        <f t="shared" si="30"/>
        <v>1.6131740644805863</v>
      </c>
      <c r="N141" s="6">
        <f t="shared" si="37"/>
        <v>1.9421215092625554</v>
      </c>
      <c r="O141" s="6">
        <f t="shared" si="38"/>
        <v>423.55389178532283</v>
      </c>
      <c r="P141" s="6">
        <f>SUM($G$2:G141)</f>
        <v>1022.0656472862335</v>
      </c>
      <c r="Q141" s="6">
        <f t="shared" si="39"/>
        <v>1948.5117555009106</v>
      </c>
      <c r="R141" s="6">
        <f t="shared" si="40"/>
        <v>1948.5117555009101</v>
      </c>
      <c r="S141" s="6">
        <f t="shared" si="41"/>
        <v>0</v>
      </c>
    </row>
    <row r="142" spans="5:19" x14ac:dyDescent="0.3">
      <c r="E142" s="2">
        <v>140</v>
      </c>
      <c r="F142" s="6">
        <f t="shared" si="29"/>
        <v>35</v>
      </c>
      <c r="G142" s="6">
        <f t="shared" si="31"/>
        <v>6.7951674951675427</v>
      </c>
      <c r="H142" s="6">
        <f t="shared" si="32"/>
        <v>523.66197875483078</v>
      </c>
      <c r="I142" s="6">
        <f t="shared" si="33"/>
        <v>6.5426178640463704</v>
      </c>
      <c r="J142" s="6">
        <f t="shared" si="34"/>
        <v>776.33802124516933</v>
      </c>
      <c r="K142" s="6">
        <f t="shared" si="35"/>
        <v>4.8536910679768157</v>
      </c>
      <c r="L142" s="6">
        <f t="shared" si="36"/>
        <v>651.74416718013481</v>
      </c>
      <c r="M142" s="6">
        <f t="shared" si="30"/>
        <v>1.6212793887522756</v>
      </c>
      <c r="N142" s="6">
        <f t="shared" si="37"/>
        <v>1.9414764271907263</v>
      </c>
      <c r="O142" s="6">
        <f t="shared" si="38"/>
        <v>427.11664760126581</v>
      </c>
      <c r="P142" s="6">
        <f>SUM($G$2:G142)</f>
        <v>1028.8608147814009</v>
      </c>
      <c r="Q142" s="6">
        <f t="shared" si="39"/>
        <v>1951.7441671801353</v>
      </c>
      <c r="R142" s="6">
        <f t="shared" si="40"/>
        <v>1951.7441671801348</v>
      </c>
      <c r="S142" s="6">
        <f t="shared" si="41"/>
        <v>0</v>
      </c>
    </row>
    <row r="143" spans="5:19" x14ac:dyDescent="0.3">
      <c r="E143" s="2">
        <v>141</v>
      </c>
      <c r="F143" s="6">
        <f t="shared" si="29"/>
        <v>35.25</v>
      </c>
      <c r="G143" s="6">
        <f t="shared" si="31"/>
        <v>6.7929576858952325</v>
      </c>
      <c r="H143" s="6">
        <f t="shared" si="32"/>
        <v>523.90916170629066</v>
      </c>
      <c r="I143" s="6">
        <f t="shared" si="33"/>
        <v>6.5457747344353852</v>
      </c>
      <c r="J143" s="6">
        <f t="shared" si="34"/>
        <v>776.09083829370957</v>
      </c>
      <c r="K143" s="6">
        <f t="shared" si="35"/>
        <v>4.8521126327823083</v>
      </c>
      <c r="L143" s="6">
        <f t="shared" si="36"/>
        <v>654.96691939496679</v>
      </c>
      <c r="M143" s="6">
        <f t="shared" si="30"/>
        <v>1.6293604179503371</v>
      </c>
      <c r="N143" s="6">
        <f t="shared" si="37"/>
        <v>1.9408450531129233</v>
      </c>
      <c r="O143" s="6">
        <f t="shared" si="38"/>
        <v>430.68685307232909</v>
      </c>
      <c r="P143" s="6">
        <f>SUM($G$2:G143)</f>
        <v>1035.6537724672962</v>
      </c>
      <c r="Q143" s="6">
        <f t="shared" si="39"/>
        <v>1954.9669193949671</v>
      </c>
      <c r="R143" s="6">
        <f t="shared" si="40"/>
        <v>1954.9669193949671</v>
      </c>
      <c r="S143" s="6">
        <f t="shared" si="41"/>
        <v>0</v>
      </c>
    </row>
    <row r="144" spans="5:19" x14ac:dyDescent="0.3">
      <c r="E144" s="2">
        <v>142</v>
      </c>
      <c r="F144" s="6">
        <f t="shared" si="29"/>
        <v>35.5</v>
      </c>
      <c r="G144" s="6">
        <f t="shared" si="31"/>
        <v>6.790794835069959</v>
      </c>
      <c r="H144" s="6">
        <f t="shared" si="32"/>
        <v>524.15109202003202</v>
      </c>
      <c r="I144" s="6">
        <f t="shared" si="33"/>
        <v>6.5488645213286336</v>
      </c>
      <c r="J144" s="6">
        <f t="shared" si="34"/>
        <v>775.8489079799682</v>
      </c>
      <c r="K144" s="6">
        <f t="shared" si="35"/>
        <v>4.850567739335685</v>
      </c>
      <c r="L144" s="6">
        <f t="shared" si="36"/>
        <v>658.18006983581506</v>
      </c>
      <c r="M144" s="6">
        <f t="shared" si="30"/>
        <v>1.6374172984874171</v>
      </c>
      <c r="N144" s="6">
        <f t="shared" si="37"/>
        <v>1.940227095734274</v>
      </c>
      <c r="O144" s="6">
        <f t="shared" si="38"/>
        <v>434.26449746655078</v>
      </c>
      <c r="P144" s="6">
        <f>SUM($G$2:G144)</f>
        <v>1042.4445673023661</v>
      </c>
      <c r="Q144" s="6">
        <f t="shared" si="39"/>
        <v>1958.1800698358152</v>
      </c>
      <c r="R144" s="6">
        <f t="shared" si="40"/>
        <v>1958.1800698358152</v>
      </c>
      <c r="S144" s="6">
        <f t="shared" si="41"/>
        <v>0</v>
      </c>
    </row>
    <row r="145" spans="5:19" x14ac:dyDescent="0.3">
      <c r="E145" s="2">
        <v>143</v>
      </c>
      <c r="F145" s="6">
        <f t="shared" si="29"/>
        <v>35.75</v>
      </c>
      <c r="G145" s="6">
        <f t="shared" si="31"/>
        <v>6.7886779448247223</v>
      </c>
      <c r="H145" s="6">
        <f t="shared" si="32"/>
        <v>524.38788131460637</v>
      </c>
      <c r="I145" s="6">
        <f t="shared" si="33"/>
        <v>6.5518886502504001</v>
      </c>
      <c r="J145" s="6">
        <f t="shared" si="34"/>
        <v>775.61211868539385</v>
      </c>
      <c r="K145" s="6">
        <f t="shared" si="35"/>
        <v>4.8490556748748013</v>
      </c>
      <c r="L145" s="6">
        <f t="shared" si="36"/>
        <v>661.38367533610028</v>
      </c>
      <c r="M145" s="6">
        <f t="shared" si="30"/>
        <v>1.6454501745895378</v>
      </c>
      <c r="N145" s="6">
        <f t="shared" si="37"/>
        <v>1.9396222699499206</v>
      </c>
      <c r="O145" s="6">
        <f t="shared" si="38"/>
        <v>437.84956991109021</v>
      </c>
      <c r="P145" s="6">
        <f>SUM($G$2:G145)</f>
        <v>1049.2332452471908</v>
      </c>
      <c r="Q145" s="6">
        <f t="shared" si="39"/>
        <v>1961.3836753361009</v>
      </c>
      <c r="R145" s="6">
        <f t="shared" si="40"/>
        <v>1961.3836753361006</v>
      </c>
      <c r="S145" s="6">
        <f t="shared" si="41"/>
        <v>0</v>
      </c>
    </row>
    <row r="146" spans="5:19" x14ac:dyDescent="0.3">
      <c r="E146" s="2">
        <v>144</v>
      </c>
      <c r="F146" s="6">
        <f t="shared" si="29"/>
        <v>36</v>
      </c>
      <c r="G146" s="6">
        <f t="shared" si="31"/>
        <v>6.7866060384971965</v>
      </c>
      <c r="H146" s="6">
        <f t="shared" si="32"/>
        <v>524.61963883667102</v>
      </c>
      <c r="I146" s="6">
        <f t="shared" si="33"/>
        <v>6.55484851643258</v>
      </c>
      <c r="J146" s="6">
        <f t="shared" si="34"/>
        <v>775.38036116332933</v>
      </c>
      <c r="K146" s="6">
        <f t="shared" si="35"/>
        <v>4.8475757417837118</v>
      </c>
      <c r="L146" s="6">
        <f t="shared" si="36"/>
        <v>664.57779188954373</v>
      </c>
      <c r="M146" s="6">
        <f t="shared" si="30"/>
        <v>1.6534591883402507</v>
      </c>
      <c r="N146" s="6">
        <f t="shared" si="37"/>
        <v>1.9390302967134847</v>
      </c>
      <c r="O146" s="6">
        <f t="shared" si="38"/>
        <v>441.44205939614397</v>
      </c>
      <c r="P146" s="6">
        <f>SUM($G$2:G146)</f>
        <v>1056.019851285688</v>
      </c>
      <c r="Q146" s="6">
        <f t="shared" si="39"/>
        <v>1964.5777918895437</v>
      </c>
      <c r="R146" s="6">
        <f t="shared" si="40"/>
        <v>1964.5777918895442</v>
      </c>
      <c r="S146" s="6">
        <f t="shared" si="41"/>
        <v>0</v>
      </c>
    </row>
    <row r="147" spans="5:19" x14ac:dyDescent="0.3">
      <c r="E147" s="2">
        <v>145</v>
      </c>
      <c r="F147" s="6">
        <f t="shared" si="29"/>
        <v>36.25</v>
      </c>
      <c r="G147" s="6">
        <f t="shared" si="31"/>
        <v>6.784578160179132</v>
      </c>
      <c r="H147" s="6">
        <f t="shared" si="32"/>
        <v>524.84647151139177</v>
      </c>
      <c r="I147" s="6">
        <f t="shared" si="33"/>
        <v>6.5577454854583879</v>
      </c>
      <c r="J147" s="6">
        <f t="shared" si="34"/>
        <v>775.15352848860857</v>
      </c>
      <c r="K147" s="6">
        <f t="shared" si="35"/>
        <v>4.8461272572708083</v>
      </c>
      <c r="L147" s="6">
        <f t="shared" si="36"/>
        <v>667.76247466709071</v>
      </c>
      <c r="M147" s="6">
        <f t="shared" si="30"/>
        <v>1.6614444797238594</v>
      </c>
      <c r="N147" s="6">
        <f t="shared" si="37"/>
        <v>1.9384509029083234</v>
      </c>
      <c r="O147" s="6">
        <f t="shared" si="38"/>
        <v>445.04195477877613</v>
      </c>
      <c r="P147" s="6">
        <f>SUM($G$2:G147)</f>
        <v>1062.8044294458671</v>
      </c>
      <c r="Q147" s="6">
        <f t="shared" si="39"/>
        <v>1967.7624746670908</v>
      </c>
      <c r="R147" s="6">
        <f t="shared" si="40"/>
        <v>1967.7624746670913</v>
      </c>
      <c r="S147" s="6">
        <f t="shared" si="41"/>
        <v>0</v>
      </c>
    </row>
    <row r="148" spans="5:19" x14ac:dyDescent="0.3">
      <c r="E148" s="2">
        <v>146</v>
      </c>
      <c r="F148" s="6">
        <f t="shared" si="29"/>
        <v>36.5</v>
      </c>
      <c r="G148" s="6">
        <f t="shared" si="31"/>
        <v>6.7825933742753257</v>
      </c>
      <c r="H148" s="6">
        <f t="shared" si="32"/>
        <v>525.06848399177466</v>
      </c>
      <c r="I148" s="6">
        <f t="shared" si="33"/>
        <v>6.5605808938923973</v>
      </c>
      <c r="J148" s="6">
        <f t="shared" si="34"/>
        <v>774.93151600822569</v>
      </c>
      <c r="K148" s="6">
        <f t="shared" si="35"/>
        <v>4.8447095530538036</v>
      </c>
      <c r="L148" s="6">
        <f t="shared" si="36"/>
        <v>670.93777803347677</v>
      </c>
      <c r="M148" s="6">
        <f t="shared" si="30"/>
        <v>1.6694061866677268</v>
      </c>
      <c r="N148" s="6">
        <f t="shared" si="37"/>
        <v>1.9378838212215215</v>
      </c>
      <c r="O148" s="6">
        <f t="shared" si="38"/>
        <v>448.64924478666541</v>
      </c>
      <c r="P148" s="6">
        <f>SUM($G$2:G148)</f>
        <v>1069.5870228201425</v>
      </c>
      <c r="Q148" s="6">
        <f t="shared" si="39"/>
        <v>1970.9377780334771</v>
      </c>
      <c r="R148" s="6">
        <f t="shared" si="40"/>
        <v>1970.9377780334771</v>
      </c>
      <c r="S148" s="6">
        <f t="shared" si="41"/>
        <v>0</v>
      </c>
    </row>
    <row r="149" spans="5:19" x14ac:dyDescent="0.3">
      <c r="E149" s="2">
        <v>147</v>
      </c>
      <c r="F149" s="6">
        <f t="shared" si="29"/>
        <v>36.75</v>
      </c>
      <c r="G149" s="6">
        <f t="shared" si="31"/>
        <v>6.7806507650719752</v>
      </c>
      <c r="H149" s="6">
        <f t="shared" si="32"/>
        <v>525.28577870694949</v>
      </c>
      <c r="I149" s="6">
        <f t="shared" si="33"/>
        <v>6.563356049897183</v>
      </c>
      <c r="J149" s="6">
        <f t="shared" si="34"/>
        <v>774.71422129305085</v>
      </c>
      <c r="K149" s="6">
        <f t="shared" si="35"/>
        <v>4.8433219750514107</v>
      </c>
      <c r="L149" s="6">
        <f t="shared" si="36"/>
        <v>674.10375556344445</v>
      </c>
      <c r="M149" s="6">
        <f t="shared" si="30"/>
        <v>1.6773444450836921</v>
      </c>
      <c r="N149" s="6">
        <f t="shared" si="37"/>
        <v>1.9373287900205642</v>
      </c>
      <c r="O149" s="6">
        <f t="shared" si="38"/>
        <v>452.26391802176965</v>
      </c>
      <c r="P149" s="6">
        <f>SUM($G$2:G149)</f>
        <v>1076.3676735852143</v>
      </c>
      <c r="Q149" s="6">
        <f t="shared" si="39"/>
        <v>1974.1037555634443</v>
      </c>
      <c r="R149" s="6">
        <f t="shared" si="40"/>
        <v>1974.1037555634448</v>
      </c>
      <c r="S149" s="6">
        <f t="shared" si="41"/>
        <v>0</v>
      </c>
    </row>
    <row r="150" spans="5:19" x14ac:dyDescent="0.3">
      <c r="E150" s="2">
        <v>148</v>
      </c>
      <c r="F150" s="6">
        <f t="shared" si="29"/>
        <v>37</v>
      </c>
      <c r="G150" s="6">
        <f t="shared" si="31"/>
        <v>6.7787494363141958</v>
      </c>
      <c r="H150" s="6">
        <f t="shared" si="32"/>
        <v>525.49845590942687</v>
      </c>
      <c r="I150" s="6">
        <f t="shared" si="33"/>
        <v>6.5660722338368682</v>
      </c>
      <c r="J150" s="6">
        <f t="shared" si="34"/>
        <v>774.50154409057347</v>
      </c>
      <c r="K150" s="6">
        <f t="shared" si="35"/>
        <v>4.8419638830815677</v>
      </c>
      <c r="L150" s="6">
        <f t="shared" si="36"/>
        <v>677.26046005761737</v>
      </c>
      <c r="M150" s="6">
        <f t="shared" si="30"/>
        <v>1.6852593889086112</v>
      </c>
      <c r="N150" s="6">
        <f t="shared" si="37"/>
        <v>1.9367855532326272</v>
      </c>
      <c r="O150" s="6">
        <f t="shared" si="38"/>
        <v>455.88596296391091</v>
      </c>
      <c r="P150" s="6">
        <f>SUM($G$2:G150)</f>
        <v>1083.1464230215286</v>
      </c>
      <c r="Q150" s="6">
        <f t="shared" si="39"/>
        <v>1977.2604600576178</v>
      </c>
      <c r="R150" s="6">
        <f t="shared" si="40"/>
        <v>1977.2604600576178</v>
      </c>
      <c r="S150" s="6">
        <f t="shared" si="41"/>
        <v>0</v>
      </c>
    </row>
    <row r="151" spans="5:19" x14ac:dyDescent="0.3">
      <c r="E151" s="2">
        <v>149</v>
      </c>
      <c r="F151" s="6">
        <f t="shared" si="29"/>
        <v>37.25</v>
      </c>
      <c r="G151" s="6">
        <f t="shared" si="31"/>
        <v>6.776888510792519</v>
      </c>
      <c r="H151" s="6">
        <f t="shared" si="32"/>
        <v>525.70661372135157</v>
      </c>
      <c r="I151" s="6">
        <f t="shared" si="33"/>
        <v>6.568730698867836</v>
      </c>
      <c r="J151" s="6">
        <f t="shared" si="34"/>
        <v>774.29338627864877</v>
      </c>
      <c r="K151" s="6">
        <f t="shared" si="35"/>
        <v>4.8406346505660842</v>
      </c>
      <c r="L151" s="6">
        <f t="shared" si="36"/>
        <v>680.40794355803939</v>
      </c>
      <c r="M151" s="6">
        <f t="shared" si="30"/>
        <v>1.6931511501440435</v>
      </c>
      <c r="N151" s="6">
        <f t="shared" si="37"/>
        <v>1.9362538602264336</v>
      </c>
      <c r="O151" s="6">
        <f t="shared" si="38"/>
        <v>459.51536797428139</v>
      </c>
      <c r="P151" s="6">
        <f>SUM($G$2:G151)</f>
        <v>1089.9233115323211</v>
      </c>
      <c r="Q151" s="6">
        <f t="shared" si="39"/>
        <v>1980.40794355804</v>
      </c>
      <c r="R151" s="6">
        <f t="shared" si="40"/>
        <v>1980.4079435580397</v>
      </c>
      <c r="S151" s="6">
        <f t="shared" si="41"/>
        <v>0</v>
      </c>
    </row>
    <row r="152" spans="5:19" x14ac:dyDescent="0.3">
      <c r="E152" s="2">
        <v>150</v>
      </c>
      <c r="F152" s="6">
        <f t="shared" si="29"/>
        <v>37.5</v>
      </c>
      <c r="G152" s="6">
        <f t="shared" si="31"/>
        <v>6.7750671299381775</v>
      </c>
      <c r="H152" s="6">
        <f t="shared" si="32"/>
        <v>525.91034817977288</v>
      </c>
      <c r="I152" s="6">
        <f t="shared" si="33"/>
        <v>6.5713326715168945</v>
      </c>
      <c r="J152" s="6">
        <f t="shared" si="34"/>
        <v>774.08965182022746</v>
      </c>
      <c r="K152" s="6">
        <f t="shared" si="35"/>
        <v>4.839333664241555</v>
      </c>
      <c r="L152" s="6">
        <f t="shared" si="36"/>
        <v>683.54625736338585</v>
      </c>
      <c r="M152" s="6">
        <f t="shared" si="30"/>
        <v>1.7010198588950984</v>
      </c>
      <c r="N152" s="6">
        <f t="shared" si="37"/>
        <v>1.9357334656966219</v>
      </c>
      <c r="O152" s="6">
        <f t="shared" si="38"/>
        <v>463.15212129887311</v>
      </c>
      <c r="P152" s="6">
        <f>SUM($G$2:G152)</f>
        <v>1096.6983786622593</v>
      </c>
      <c r="Q152" s="6">
        <f t="shared" si="39"/>
        <v>1983.5462573633863</v>
      </c>
      <c r="R152" s="6">
        <f t="shared" si="40"/>
        <v>1983.5462573633863</v>
      </c>
      <c r="S152" s="6">
        <f t="shared" si="41"/>
        <v>0</v>
      </c>
    </row>
    <row r="153" spans="5:19" x14ac:dyDescent="0.3">
      <c r="E153" s="2">
        <v>151</v>
      </c>
      <c r="F153" s="6">
        <f t="shared" si="29"/>
        <v>37.75</v>
      </c>
      <c r="G153" s="6">
        <f t="shared" si="31"/>
        <v>6.7732844534269905</v>
      </c>
      <c r="H153" s="6">
        <f t="shared" si="32"/>
        <v>526.10975328095276</v>
      </c>
      <c r="I153" s="6">
        <f t="shared" si="33"/>
        <v>6.573879352247161</v>
      </c>
      <c r="J153" s="6">
        <f t="shared" si="34"/>
        <v>773.8902467190477</v>
      </c>
      <c r="K153" s="6">
        <f t="shared" si="35"/>
        <v>4.8380603238764213</v>
      </c>
      <c r="L153" s="6">
        <f t="shared" si="36"/>
        <v>686.67545204385385</v>
      </c>
      <c r="M153" s="6">
        <f t="shared" si="30"/>
        <v>1.7088656434084646</v>
      </c>
      <c r="N153" s="6">
        <f t="shared" si="37"/>
        <v>1.9352241295505688</v>
      </c>
      <c r="O153" s="6">
        <f t="shared" si="38"/>
        <v>466.79621107183215</v>
      </c>
      <c r="P153" s="6">
        <f>SUM($G$2:G153)</f>
        <v>1103.4716631156864</v>
      </c>
      <c r="Q153" s="6">
        <f t="shared" si="39"/>
        <v>1986.675452043854</v>
      </c>
      <c r="R153" s="6">
        <f t="shared" si="40"/>
        <v>1986.6754520438544</v>
      </c>
      <c r="S153" s="6">
        <f t="shared" si="41"/>
        <v>0</v>
      </c>
    </row>
    <row r="154" spans="5:19" x14ac:dyDescent="0.3">
      <c r="E154" s="2">
        <v>152</v>
      </c>
      <c r="F154" s="6">
        <f t="shared" si="29"/>
        <v>38</v>
      </c>
      <c r="G154" s="6">
        <f t="shared" si="31"/>
        <v>6.7715396587916681</v>
      </c>
      <c r="H154" s="6">
        <f t="shared" si="32"/>
        <v>526.3049210237325</v>
      </c>
      <c r="I154" s="6">
        <f t="shared" si="33"/>
        <v>6.5763719160119098</v>
      </c>
      <c r="J154" s="6">
        <f t="shared" si="34"/>
        <v>773.69507897626784</v>
      </c>
      <c r="K154" s="6">
        <f t="shared" si="35"/>
        <v>4.8368140419940477</v>
      </c>
      <c r="L154" s="6">
        <f t="shared" si="36"/>
        <v>689.79557745573823</v>
      </c>
      <c r="M154" s="6">
        <f t="shared" si="30"/>
        <v>1.7166886301096347</v>
      </c>
      <c r="N154" s="6">
        <f t="shared" si="37"/>
        <v>1.9347256167976192</v>
      </c>
      <c r="O154" s="6">
        <f t="shared" si="38"/>
        <v>470.44762531873937</v>
      </c>
      <c r="P154" s="6">
        <f>SUM($G$2:G154)</f>
        <v>1110.243202774478</v>
      </c>
      <c r="Q154" s="6">
        <f t="shared" si="39"/>
        <v>1989.7955774557386</v>
      </c>
      <c r="R154" s="6">
        <f t="shared" si="40"/>
        <v>1989.7955774557386</v>
      </c>
      <c r="S154" s="6">
        <f t="shared" si="41"/>
        <v>0</v>
      </c>
    </row>
    <row r="155" spans="5:19" x14ac:dyDescent="0.3">
      <c r="E155" s="2">
        <v>153</v>
      </c>
      <c r="F155" s="6">
        <f t="shared" si="29"/>
        <v>38.25</v>
      </c>
      <c r="G155" s="6">
        <f t="shared" si="31"/>
        <v>6.7698319410423444</v>
      </c>
      <c r="H155" s="6">
        <f t="shared" si="32"/>
        <v>526.49594145197818</v>
      </c>
      <c r="I155" s="6">
        <f t="shared" si="33"/>
        <v>6.5788115127966567</v>
      </c>
      <c r="J155" s="6">
        <f t="shared" si="34"/>
        <v>773.50405854802204</v>
      </c>
      <c r="K155" s="6">
        <f t="shared" si="35"/>
        <v>4.8355942436016743</v>
      </c>
      <c r="L155" s="6">
        <f t="shared" si="36"/>
        <v>692.90668275570056</v>
      </c>
      <c r="M155" s="6">
        <f t="shared" si="30"/>
        <v>1.7244889436393456</v>
      </c>
      <c r="N155" s="6">
        <f t="shared" si="37"/>
        <v>1.9342376974406696</v>
      </c>
      <c r="O155" s="6">
        <f t="shared" si="38"/>
        <v>474.10635195981939</v>
      </c>
      <c r="P155" s="6">
        <f>SUM($G$2:G155)</f>
        <v>1117.0130347155205</v>
      </c>
      <c r="Q155" s="6">
        <f t="shared" si="39"/>
        <v>1992.906682755701</v>
      </c>
      <c r="R155" s="6">
        <f t="shared" si="40"/>
        <v>1992.9066827557008</v>
      </c>
      <c r="S155" s="6">
        <f t="shared" si="41"/>
        <v>0</v>
      </c>
    </row>
    <row r="156" spans="5:19" x14ac:dyDescent="0.3">
      <c r="E156" s="2">
        <v>154</v>
      </c>
      <c r="F156" s="6">
        <f t="shared" si="29"/>
        <v>38.5</v>
      </c>
      <c r="G156" s="6">
        <f t="shared" si="31"/>
        <v>6.7681605122951938</v>
      </c>
      <c r="H156" s="6">
        <f t="shared" si="32"/>
        <v>526.68290269612362</v>
      </c>
      <c r="I156" s="6">
        <f t="shared" si="33"/>
        <v>6.5811992681497271</v>
      </c>
      <c r="J156" s="6">
        <f t="shared" si="34"/>
        <v>773.31709730387649</v>
      </c>
      <c r="K156" s="6">
        <f t="shared" si="35"/>
        <v>4.8344003659251378</v>
      </c>
      <c r="L156" s="6">
        <f t="shared" si="36"/>
        <v>696.00881641473643</v>
      </c>
      <c r="M156" s="6">
        <f t="shared" si="30"/>
        <v>1.7322667068892514</v>
      </c>
      <c r="N156" s="6">
        <f t="shared" si="37"/>
        <v>1.9337601463700551</v>
      </c>
      <c r="O156" s="6">
        <f t="shared" si="38"/>
        <v>477.77237881307872</v>
      </c>
      <c r="P156" s="6">
        <f>SUM($G$2:G156)</f>
        <v>1123.7811952278157</v>
      </c>
      <c r="Q156" s="6">
        <f t="shared" si="39"/>
        <v>1996.0088164147369</v>
      </c>
      <c r="R156" s="6">
        <f t="shared" si="40"/>
        <v>1996.0088164147364</v>
      </c>
      <c r="S156" s="6">
        <f t="shared" si="41"/>
        <v>0</v>
      </c>
    </row>
    <row r="157" spans="5:19" x14ac:dyDescent="0.3">
      <c r="E157" s="2">
        <v>155</v>
      </c>
      <c r="F157" s="6">
        <f t="shared" si="29"/>
        <v>38.75</v>
      </c>
      <c r="G157" s="6">
        <f t="shared" si="31"/>
        <v>6.7665246014089195</v>
      </c>
      <c r="H157" s="6">
        <f t="shared" si="32"/>
        <v>526.86589101383095</v>
      </c>
      <c r="I157" s="6">
        <f t="shared" si="33"/>
        <v>6.5835362837015454</v>
      </c>
      <c r="J157" s="6">
        <f t="shared" si="34"/>
        <v>773.13410898616905</v>
      </c>
      <c r="K157" s="6">
        <f t="shared" si="35"/>
        <v>4.8332318581492277</v>
      </c>
      <c r="L157" s="6">
        <f t="shared" si="36"/>
        <v>699.10202623184887</v>
      </c>
      <c r="M157" s="6">
        <f t="shared" si="30"/>
        <v>1.7400220410368412</v>
      </c>
      <c r="N157" s="6">
        <f t="shared" si="37"/>
        <v>1.9332927432596914</v>
      </c>
      <c r="O157" s="6">
        <f t="shared" si="38"/>
        <v>481.44569359737528</v>
      </c>
      <c r="P157" s="6">
        <f>SUM($G$2:G157)</f>
        <v>1130.5477198292247</v>
      </c>
      <c r="Q157" s="6">
        <f t="shared" si="39"/>
        <v>1999.1020262318493</v>
      </c>
      <c r="R157" s="6">
        <f t="shared" si="40"/>
        <v>1999.1020262318489</v>
      </c>
      <c r="S157" s="6">
        <f t="shared" si="41"/>
        <v>0</v>
      </c>
    </row>
    <row r="158" spans="5:19" x14ac:dyDescent="0.3">
      <c r="E158" s="2">
        <v>156</v>
      </c>
      <c r="F158" s="6">
        <f t="shared" si="29"/>
        <v>39</v>
      </c>
      <c r="G158" s="6">
        <f t="shared" si="31"/>
        <v>6.7649234536289802</v>
      </c>
      <c r="H158" s="6">
        <f t="shared" si="32"/>
        <v>527.04499082978703</v>
      </c>
      <c r="I158" s="6">
        <f t="shared" si="33"/>
        <v>6.5858236376728865</v>
      </c>
      <c r="J158" s="6">
        <f t="shared" si="34"/>
        <v>772.95500917021286</v>
      </c>
      <c r="K158" s="6">
        <f t="shared" si="35"/>
        <v>4.8320881811635568</v>
      </c>
      <c r="L158" s="6">
        <f t="shared" si="36"/>
        <v>702.18635934743281</v>
      </c>
      <c r="M158" s="6">
        <f t="shared" si="30"/>
        <v>1.7477550655796221</v>
      </c>
      <c r="N158" s="6">
        <f t="shared" si="37"/>
        <v>1.9328352724654227</v>
      </c>
      <c r="O158" s="6">
        <f t="shared" si="38"/>
        <v>485.1262839354203</v>
      </c>
      <c r="P158" s="6">
        <f>SUM($G$2:G158)</f>
        <v>1137.3126432828537</v>
      </c>
      <c r="Q158" s="6">
        <f t="shared" si="39"/>
        <v>2002.1863593474336</v>
      </c>
      <c r="R158" s="6">
        <f t="shared" si="40"/>
        <v>2002.1863593474327</v>
      </c>
      <c r="S158" s="6">
        <f t="shared" si="41"/>
        <v>0</v>
      </c>
    </row>
    <row r="159" spans="5:19" x14ac:dyDescent="0.3">
      <c r="E159" s="2">
        <v>157</v>
      </c>
      <c r="F159" s="6">
        <f t="shared" si="29"/>
        <v>39.25</v>
      </c>
      <c r="G159" s="6">
        <f t="shared" si="31"/>
        <v>6.7633563302393629</v>
      </c>
      <c r="H159" s="6">
        <f t="shared" si="32"/>
        <v>527.22028477465403</v>
      </c>
      <c r="I159" s="6">
        <f t="shared" si="33"/>
        <v>6.5880623853723375</v>
      </c>
      <c r="J159" s="6">
        <f t="shared" si="34"/>
        <v>772.77971522534585</v>
      </c>
      <c r="K159" s="6">
        <f t="shared" si="35"/>
        <v>4.8309688073138304</v>
      </c>
      <c r="L159" s="6">
        <f t="shared" si="36"/>
        <v>705.26186225637809</v>
      </c>
      <c r="M159" s="6">
        <f t="shared" si="30"/>
        <v>1.755465898368582</v>
      </c>
      <c r="N159" s="6">
        <f t="shared" si="37"/>
        <v>1.9323875229255323</v>
      </c>
      <c r="O159" s="6">
        <f t="shared" si="38"/>
        <v>488.81413735671441</v>
      </c>
      <c r="P159" s="6">
        <f>SUM($G$2:G159)</f>
        <v>1144.075999613093</v>
      </c>
      <c r="Q159" s="6">
        <f t="shared" si="39"/>
        <v>2005.2618622563784</v>
      </c>
      <c r="R159" s="6">
        <f t="shared" si="40"/>
        <v>2005.2618622563782</v>
      </c>
      <c r="S159" s="6">
        <f t="shared" si="41"/>
        <v>0</v>
      </c>
    </row>
    <row r="160" spans="5:19" x14ac:dyDescent="0.3">
      <c r="E160" s="2">
        <v>158</v>
      </c>
      <c r="F160" s="6">
        <f t="shared" si="29"/>
        <v>39.5</v>
      </c>
      <c r="G160" s="6">
        <f t="shared" si="31"/>
        <v>6.7618225082217771</v>
      </c>
      <c r="H160" s="6">
        <f t="shared" si="32"/>
        <v>527.39185372319264</v>
      </c>
      <c r="I160" s="6">
        <f t="shared" si="33"/>
        <v>6.5902535596831751</v>
      </c>
      <c r="J160" s="6">
        <f t="shared" si="34"/>
        <v>772.60814627680725</v>
      </c>
      <c r="K160" s="6">
        <f t="shared" si="35"/>
        <v>4.8298732201584116</v>
      </c>
      <c r="L160" s="6">
        <f t="shared" si="36"/>
        <v>708.32858082089558</v>
      </c>
      <c r="M160" s="6">
        <f t="shared" si="30"/>
        <v>1.7631546556409452</v>
      </c>
      <c r="N160" s="6">
        <f t="shared" si="37"/>
        <v>1.9319492880633646</v>
      </c>
      <c r="O160" s="6">
        <f t="shared" si="38"/>
        <v>492.50924130041875</v>
      </c>
      <c r="P160" s="6">
        <f>SUM($G$2:G160)</f>
        <v>1150.8378221213147</v>
      </c>
      <c r="Q160" s="6">
        <f t="shared" si="39"/>
        <v>2008.3285808208959</v>
      </c>
      <c r="R160" s="6">
        <f t="shared" si="40"/>
        <v>2008.3285808208957</v>
      </c>
      <c r="S160" s="6">
        <f t="shared" si="41"/>
        <v>0</v>
      </c>
    </row>
    <row r="161" spans="5:19" x14ac:dyDescent="0.3">
      <c r="E161" s="2">
        <v>159</v>
      </c>
      <c r="F161" s="6">
        <f t="shared" si="29"/>
        <v>39.75</v>
      </c>
      <c r="G161" s="6">
        <f t="shared" si="31"/>
        <v>6.7603212799220644</v>
      </c>
      <c r="H161" s="6">
        <f t="shared" si="32"/>
        <v>527.55977683157482</v>
      </c>
      <c r="I161" s="6">
        <f t="shared" si="33"/>
        <v>6.5923981715399078</v>
      </c>
      <c r="J161" s="6">
        <f t="shared" si="34"/>
        <v>772.44022316842506</v>
      </c>
      <c r="K161" s="6">
        <f t="shared" si="35"/>
        <v>4.8288009142300456</v>
      </c>
      <c r="L161" s="6">
        <f t="shared" si="36"/>
        <v>711.38656028307344</v>
      </c>
      <c r="M161" s="6">
        <f t="shared" si="30"/>
        <v>1.770821452052239</v>
      </c>
      <c r="N161" s="6">
        <f t="shared" si="37"/>
        <v>1.9315203656920181</v>
      </c>
      <c r="O161" s="6">
        <f t="shared" si="38"/>
        <v>496.21158311816299</v>
      </c>
      <c r="P161" s="6">
        <f>SUM($G$2:G161)</f>
        <v>1157.5981434012367</v>
      </c>
      <c r="Q161" s="6">
        <f t="shared" si="39"/>
        <v>2011.3865602830735</v>
      </c>
      <c r="R161" s="6">
        <f t="shared" si="40"/>
        <v>2011.3865602830733</v>
      </c>
      <c r="S161" s="6">
        <f t="shared" si="41"/>
        <v>0</v>
      </c>
    </row>
    <row r="162" spans="5:19" x14ac:dyDescent="0.3">
      <c r="E162" s="2">
        <v>160</v>
      </c>
      <c r="F162" s="6">
        <f t="shared" si="29"/>
        <v>40</v>
      </c>
      <c r="G162" s="6">
        <f t="shared" si="31"/>
        <v>6.7588519527237203</v>
      </c>
      <c r="H162" s="6">
        <f t="shared" si="32"/>
        <v>527.72413157390383</v>
      </c>
      <c r="I162" s="6">
        <f t="shared" si="33"/>
        <v>6.5944972103946853</v>
      </c>
      <c r="J162" s="6">
        <f t="shared" si="34"/>
        <v>772.27586842609605</v>
      </c>
      <c r="K162" s="6">
        <f t="shared" si="35"/>
        <v>4.8277513948026565</v>
      </c>
      <c r="L162" s="6">
        <f t="shared" si="36"/>
        <v>714.43584527716837</v>
      </c>
      <c r="M162" s="6">
        <f t="shared" si="30"/>
        <v>1.7784664007076836</v>
      </c>
      <c r="N162" s="6">
        <f t="shared" si="37"/>
        <v>1.9311005579210627</v>
      </c>
      <c r="O162" s="6">
        <f t="shared" si="38"/>
        <v>499.92115007679172</v>
      </c>
      <c r="P162" s="6">
        <f>SUM($G$2:G162)</f>
        <v>1164.3569953539604</v>
      </c>
      <c r="Q162" s="6">
        <f t="shared" si="39"/>
        <v>2014.4358452771687</v>
      </c>
      <c r="R162" s="6">
        <f t="shared" si="40"/>
        <v>2014.4358452771685</v>
      </c>
      <c r="S162" s="6">
        <f t="shared" si="41"/>
        <v>0</v>
      </c>
    </row>
    <row r="163" spans="5:19" x14ac:dyDescent="0.3">
      <c r="E163" s="2">
        <v>161</v>
      </c>
      <c r="F163" s="6">
        <f t="shared" si="29"/>
        <v>40.25</v>
      </c>
      <c r="G163" s="6">
        <f t="shared" si="31"/>
        <v>6.7574138487283415</v>
      </c>
      <c r="H163" s="6">
        <f t="shared" si="32"/>
        <v>527.88499377795836</v>
      </c>
      <c r="I163" s="6">
        <f t="shared" si="33"/>
        <v>6.5965516446737977</v>
      </c>
      <c r="J163" s="6">
        <f t="shared" si="34"/>
        <v>772.11500622204153</v>
      </c>
      <c r="K163" s="6">
        <f t="shared" si="35"/>
        <v>4.8267241776631007</v>
      </c>
      <c r="L163" s="6">
        <f t="shared" si="36"/>
        <v>717.47647984163859</v>
      </c>
      <c r="M163" s="6">
        <f t="shared" si="30"/>
        <v>1.7860896131929209</v>
      </c>
      <c r="N163" s="6">
        <f t="shared" si="37"/>
        <v>1.9306896710652401</v>
      </c>
      <c r="O163" s="6">
        <f t="shared" si="38"/>
        <v>503.63792936104988</v>
      </c>
      <c r="P163" s="6">
        <f>SUM($G$2:G163)</f>
        <v>1171.1144092026889</v>
      </c>
      <c r="Q163" s="6">
        <f t="shared" si="39"/>
        <v>2017.476479841639</v>
      </c>
      <c r="R163" s="6">
        <f t="shared" si="40"/>
        <v>2017.4764798416386</v>
      </c>
      <c r="S163" s="6">
        <f t="shared" si="41"/>
        <v>0</v>
      </c>
    </row>
    <row r="164" spans="5:19" x14ac:dyDescent="0.3">
      <c r="E164" s="2">
        <v>162</v>
      </c>
      <c r="F164" s="6">
        <f t="shared" si="29"/>
        <v>40.5</v>
      </c>
      <c r="G164" s="6">
        <f t="shared" si="31"/>
        <v>6.756006304442864</v>
      </c>
      <c r="H164" s="6">
        <f t="shared" si="32"/>
        <v>528.04243766017669</v>
      </c>
      <c r="I164" s="6">
        <f t="shared" si="33"/>
        <v>6.5985624222244796</v>
      </c>
      <c r="J164" s="6">
        <f t="shared" si="34"/>
        <v>771.9575623398232</v>
      </c>
      <c r="K164" s="6">
        <f t="shared" si="35"/>
        <v>4.8257187888877597</v>
      </c>
      <c r="L164" s="6">
        <f t="shared" si="36"/>
        <v>720.50850743092224</v>
      </c>
      <c r="M164" s="6">
        <f t="shared" si="30"/>
        <v>1.7936911996040965</v>
      </c>
      <c r="N164" s="6">
        <f t="shared" si="37"/>
        <v>1.9302875155551038</v>
      </c>
      <c r="O164" s="6">
        <f t="shared" si="38"/>
        <v>507.36190807620909</v>
      </c>
      <c r="P164" s="6">
        <f>SUM($G$2:G164)</f>
        <v>1177.8704155071318</v>
      </c>
      <c r="Q164" s="6">
        <f t="shared" si="39"/>
        <v>2020.5085074309227</v>
      </c>
      <c r="R164" s="6">
        <f t="shared" si="40"/>
        <v>2020.5085074309222</v>
      </c>
      <c r="S164" s="6">
        <f t="shared" si="41"/>
        <v>0</v>
      </c>
    </row>
    <row r="165" spans="5:19" x14ac:dyDescent="0.3">
      <c r="E165" s="2">
        <v>163</v>
      </c>
      <c r="F165" s="6">
        <f t="shared" si="29"/>
        <v>40.75</v>
      </c>
      <c r="G165" s="6">
        <f t="shared" si="31"/>
        <v>6.7546286704734539</v>
      </c>
      <c r="H165" s="6">
        <f t="shared" si="32"/>
        <v>528.19653585989795</v>
      </c>
      <c r="I165" s="6">
        <f t="shared" si="33"/>
        <v>6.6005304707522088</v>
      </c>
      <c r="J165" s="6">
        <f t="shared" si="34"/>
        <v>771.80346414010194</v>
      </c>
      <c r="K165" s="6">
        <f t="shared" si="35"/>
        <v>4.8247347646238952</v>
      </c>
      <c r="L165" s="6">
        <f t="shared" si="36"/>
        <v>723.53197092696882</v>
      </c>
      <c r="M165" s="6">
        <f t="shared" si="30"/>
        <v>1.8012712685773056</v>
      </c>
      <c r="N165" s="6">
        <f t="shared" si="37"/>
        <v>1.9298939058495581</v>
      </c>
      <c r="O165" s="6">
        <f t="shared" si="38"/>
        <v>511.09307325063594</v>
      </c>
      <c r="P165" s="6">
        <f>SUM($G$2:G165)</f>
        <v>1184.6250441776053</v>
      </c>
      <c r="Q165" s="6">
        <f t="shared" si="39"/>
        <v>2023.5319709269697</v>
      </c>
      <c r="R165" s="6">
        <f t="shared" si="40"/>
        <v>2023.5319709269688</v>
      </c>
      <c r="S165" s="6">
        <f t="shared" si="41"/>
        <v>0</v>
      </c>
    </row>
    <row r="166" spans="5:19" x14ac:dyDescent="0.3">
      <c r="E166" s="2">
        <v>164</v>
      </c>
      <c r="F166" s="6">
        <f t="shared" si="29"/>
        <v>41</v>
      </c>
      <c r="G166" s="6">
        <f t="shared" si="31"/>
        <v>6.7532803112258923</v>
      </c>
      <c r="H166" s="6">
        <f t="shared" si="32"/>
        <v>528.34735947287516</v>
      </c>
      <c r="I166" s="6">
        <f t="shared" si="33"/>
        <v>6.6024566982487247</v>
      </c>
      <c r="J166" s="6">
        <f t="shared" si="34"/>
        <v>771.65264052712473</v>
      </c>
      <c r="K166" s="6">
        <f t="shared" si="35"/>
        <v>4.8237716508756368</v>
      </c>
      <c r="L166" s="6">
        <f t="shared" si="36"/>
        <v>726.54691265052702</v>
      </c>
      <c r="M166" s="6">
        <f t="shared" si="30"/>
        <v>1.8088299273174222</v>
      </c>
      <c r="N166" s="6">
        <f t="shared" si="37"/>
        <v>1.9295086603502549</v>
      </c>
      <c r="O166" s="6">
        <f t="shared" si="38"/>
        <v>514.83141183830367</v>
      </c>
      <c r="P166" s="6">
        <f>SUM($G$2:G166)</f>
        <v>1191.3783244888311</v>
      </c>
      <c r="Q166" s="6">
        <f t="shared" si="39"/>
        <v>2026.5469126505272</v>
      </c>
      <c r="R166" s="6">
        <f t="shared" si="40"/>
        <v>2026.546912650527</v>
      </c>
      <c r="S166" s="6">
        <f t="shared" si="41"/>
        <v>0</v>
      </c>
    </row>
    <row r="167" spans="5:19" x14ac:dyDescent="0.3">
      <c r="E167" s="2">
        <v>165</v>
      </c>
      <c r="F167" s="6">
        <f t="shared" si="29"/>
        <v>41.25</v>
      </c>
      <c r="G167" s="6">
        <f t="shared" si="31"/>
        <v>6.7519606046123419</v>
      </c>
      <c r="H167" s="6">
        <f t="shared" si="32"/>
        <v>528.49497808407659</v>
      </c>
      <c r="I167" s="6">
        <f t="shared" si="33"/>
        <v>6.6043419934109391</v>
      </c>
      <c r="J167" s="6">
        <f t="shared" si="34"/>
        <v>771.50502191592329</v>
      </c>
      <c r="K167" s="6">
        <f t="shared" si="35"/>
        <v>4.8228290032945296</v>
      </c>
      <c r="L167" s="6">
        <f t="shared" si="36"/>
        <v>729.55337437219521</v>
      </c>
      <c r="M167" s="6">
        <f t="shared" si="30"/>
        <v>1.8163672816263177</v>
      </c>
      <c r="N167" s="6">
        <f t="shared" si="37"/>
        <v>1.9291316013178119</v>
      </c>
      <c r="O167" s="6">
        <f t="shared" si="38"/>
        <v>518.57691072124783</v>
      </c>
      <c r="P167" s="6">
        <f>SUM($G$2:G167)</f>
        <v>1198.1302850934435</v>
      </c>
      <c r="Q167" s="6">
        <f t="shared" si="39"/>
        <v>2029.5533743721958</v>
      </c>
      <c r="R167" s="6">
        <f t="shared" si="40"/>
        <v>2029.5533743721953</v>
      </c>
      <c r="S167" s="6">
        <f t="shared" si="41"/>
        <v>0</v>
      </c>
    </row>
    <row r="168" spans="5:19" x14ac:dyDescent="0.3">
      <c r="E168" s="2">
        <v>166</v>
      </c>
      <c r="F168" s="6">
        <f t="shared" si="29"/>
        <v>41.5</v>
      </c>
      <c r="G168" s="6">
        <f t="shared" si="31"/>
        <v>6.7506689417643297</v>
      </c>
      <c r="H168" s="6">
        <f t="shared" si="32"/>
        <v>528.63945979978996</v>
      </c>
      <c r="I168" s="6">
        <f t="shared" si="33"/>
        <v>6.6061872260509578</v>
      </c>
      <c r="J168" s="6">
        <f t="shared" si="34"/>
        <v>771.36054020020981</v>
      </c>
      <c r="K168" s="6">
        <f t="shared" si="35"/>
        <v>4.8219063869745202</v>
      </c>
      <c r="L168" s="6">
        <f t="shared" si="36"/>
        <v>732.55139732323926</v>
      </c>
      <c r="M168" s="6">
        <f t="shared" si="30"/>
        <v>1.8238834359304881</v>
      </c>
      <c r="N168" s="6">
        <f t="shared" si="37"/>
        <v>1.9287625547898082</v>
      </c>
      <c r="O168" s="6">
        <f t="shared" si="38"/>
        <v>522.32955671196817</v>
      </c>
      <c r="P168" s="6">
        <f>SUM($G$2:G168)</f>
        <v>1204.8809540352079</v>
      </c>
      <c r="Q168" s="6">
        <f t="shared" si="39"/>
        <v>2032.5513973232396</v>
      </c>
      <c r="R168" s="6">
        <f t="shared" si="40"/>
        <v>2032.5513973232391</v>
      </c>
      <c r="S168" s="6">
        <f t="shared" si="41"/>
        <v>0</v>
      </c>
    </row>
    <row r="169" spans="5:19" x14ac:dyDescent="0.3">
      <c r="E169" s="2">
        <v>167</v>
      </c>
      <c r="F169" s="6">
        <f t="shared" si="29"/>
        <v>41.75</v>
      </c>
      <c r="G169" s="6">
        <f t="shared" si="31"/>
        <v>6.7494047267518367</v>
      </c>
      <c r="H169" s="6">
        <f t="shared" si="32"/>
        <v>528.78087127904439</v>
      </c>
      <c r="I169" s="6">
        <f t="shared" si="33"/>
        <v>6.6079932474973742</v>
      </c>
      <c r="J169" s="6">
        <f t="shared" si="34"/>
        <v>771.21912872095538</v>
      </c>
      <c r="K169" s="6">
        <f t="shared" si="35"/>
        <v>4.8210033762513111</v>
      </c>
      <c r="L169" s="6">
        <f t="shared" si="36"/>
        <v>735.54102220618245</v>
      </c>
      <c r="M169" s="6">
        <f t="shared" si="30"/>
        <v>1.8313784933080981</v>
      </c>
      <c r="N169" s="6">
        <f t="shared" si="37"/>
        <v>1.9284013505005246</v>
      </c>
      <c r="O169" s="6">
        <f t="shared" si="38"/>
        <v>526.08933655577675</v>
      </c>
      <c r="P169" s="6">
        <f>SUM($G$2:G169)</f>
        <v>1211.6303587619598</v>
      </c>
      <c r="Q169" s="6">
        <f t="shared" si="39"/>
        <v>2035.5410222061828</v>
      </c>
      <c r="R169" s="6">
        <f t="shared" si="40"/>
        <v>2035.5410222061823</v>
      </c>
      <c r="S169" s="6">
        <f t="shared" si="41"/>
        <v>0</v>
      </c>
    </row>
    <row r="170" spans="5:19" x14ac:dyDescent="0.3">
      <c r="E170" s="2">
        <v>168</v>
      </c>
      <c r="F170" s="6">
        <f t="shared" si="29"/>
        <v>42</v>
      </c>
      <c r="G170" s="6">
        <f t="shared" si="31"/>
        <v>6.7481673763083601</v>
      </c>
      <c r="H170" s="6">
        <f t="shared" si="32"/>
        <v>528.91927776436467</v>
      </c>
      <c r="I170" s="6">
        <f t="shared" si="33"/>
        <v>6.6097608909880545</v>
      </c>
      <c r="J170" s="6">
        <f t="shared" si="34"/>
        <v>771.08072223563511</v>
      </c>
      <c r="K170" s="6">
        <f t="shared" si="35"/>
        <v>4.820119554505971</v>
      </c>
      <c r="L170" s="6">
        <f t="shared" si="36"/>
        <v>738.52228920517291</v>
      </c>
      <c r="M170" s="6">
        <f t="shared" si="30"/>
        <v>1.8388525555154562</v>
      </c>
      <c r="N170" s="6">
        <f t="shared" si="37"/>
        <v>1.9280478218023884</v>
      </c>
      <c r="O170" s="6">
        <f t="shared" si="38"/>
        <v>529.85623693309458</v>
      </c>
      <c r="P170" s="6">
        <f>SUM($G$2:G170)</f>
        <v>1218.3785261382682</v>
      </c>
      <c r="Q170" s="6">
        <f t="shared" si="39"/>
        <v>2038.5222892051736</v>
      </c>
      <c r="R170" s="6">
        <f t="shared" si="40"/>
        <v>2038.5222892051727</v>
      </c>
      <c r="S170" s="6">
        <f t="shared" si="41"/>
        <v>0</v>
      </c>
    </row>
    <row r="171" spans="5:19" x14ac:dyDescent="0.3">
      <c r="E171" s="2">
        <v>169</v>
      </c>
      <c r="F171" s="6">
        <f t="shared" si="29"/>
        <v>42.25</v>
      </c>
      <c r="G171" s="6">
        <f t="shared" si="31"/>
        <v>6.7469563195618081</v>
      </c>
      <c r="H171" s="6">
        <f t="shared" si="32"/>
        <v>529.05474311187186</v>
      </c>
      <c r="I171" s="6">
        <f t="shared" si="33"/>
        <v>6.6114909720545585</v>
      </c>
      <c r="J171" s="6">
        <f t="shared" si="34"/>
        <v>770.9452568881278</v>
      </c>
      <c r="K171" s="6">
        <f t="shared" si="35"/>
        <v>4.8192545139727194</v>
      </c>
      <c r="L171" s="6">
        <f t="shared" si="36"/>
        <v>741.49523799613269</v>
      </c>
      <c r="M171" s="6">
        <f t="shared" si="30"/>
        <v>1.8463057230129323</v>
      </c>
      <c r="N171" s="6">
        <f t="shared" si="37"/>
        <v>1.9277018055890878</v>
      </c>
      <c r="O171" s="6">
        <f t="shared" si="38"/>
        <v>533.63024446169663</v>
      </c>
      <c r="P171" s="6">
        <f>SUM($G$2:G171)</f>
        <v>1225.12548245783</v>
      </c>
      <c r="Q171" s="6">
        <f t="shared" si="39"/>
        <v>2041.4952379961333</v>
      </c>
      <c r="R171" s="6">
        <f t="shared" si="40"/>
        <v>2041.4952379961323</v>
      </c>
      <c r="S171" s="6">
        <f t="shared" si="41"/>
        <v>0</v>
      </c>
    </row>
    <row r="172" spans="5:19" x14ac:dyDescent="0.3">
      <c r="E172" s="2">
        <v>170</v>
      </c>
      <c r="F172" s="6">
        <f t="shared" si="29"/>
        <v>42.5</v>
      </c>
      <c r="G172" s="6">
        <f t="shared" si="31"/>
        <v>6.7457709977711193</v>
      </c>
      <c r="H172" s="6">
        <f t="shared" si="32"/>
        <v>529.18732982074459</v>
      </c>
      <c r="I172" s="6">
        <f t="shared" si="33"/>
        <v>6.613184288898398</v>
      </c>
      <c r="J172" s="6">
        <f t="shared" si="34"/>
        <v>770.81267017925506</v>
      </c>
      <c r="K172" s="6">
        <f t="shared" si="35"/>
        <v>4.8184078555507988</v>
      </c>
      <c r="L172" s="6">
        <f t="shared" si="36"/>
        <v>744.45990775669316</v>
      </c>
      <c r="M172" s="6">
        <f t="shared" si="30"/>
        <v>1.8537380949903317</v>
      </c>
      <c r="N172" s="6">
        <f t="shared" si="37"/>
        <v>1.9273631422203195</v>
      </c>
      <c r="O172" s="6">
        <f t="shared" si="38"/>
        <v>537.41134569890733</v>
      </c>
      <c r="P172" s="6">
        <f>SUM($G$2:G172)</f>
        <v>1231.8712534556012</v>
      </c>
      <c r="Q172" s="6">
        <f t="shared" si="39"/>
        <v>2044.4599077566938</v>
      </c>
      <c r="R172" s="6">
        <f t="shared" si="40"/>
        <v>2044.4599077566927</v>
      </c>
      <c r="S172" s="6">
        <f t="shared" si="41"/>
        <v>0</v>
      </c>
    </row>
    <row r="173" spans="5:19" x14ac:dyDescent="0.3">
      <c r="E173" s="2">
        <v>171</v>
      </c>
      <c r="F173" s="6">
        <f t="shared" si="29"/>
        <v>42.75</v>
      </c>
      <c r="G173" s="6">
        <f t="shared" si="31"/>
        <v>6.7446108640684823</v>
      </c>
      <c r="H173" s="6">
        <f t="shared" si="32"/>
        <v>529.31709906205379</v>
      </c>
      <c r="I173" s="6">
        <f t="shared" si="33"/>
        <v>6.6148416227593074</v>
      </c>
      <c r="J173" s="6">
        <f t="shared" si="34"/>
        <v>770.68290093794587</v>
      </c>
      <c r="K173" s="6">
        <f t="shared" si="35"/>
        <v>4.8175791886203445</v>
      </c>
      <c r="L173" s="6">
        <f t="shared" si="36"/>
        <v>747.41633717592174</v>
      </c>
      <c r="M173" s="6">
        <f t="shared" si="30"/>
        <v>1.8611497693917329</v>
      </c>
      <c r="N173" s="6">
        <f t="shared" si="37"/>
        <v>1.9270316754481378</v>
      </c>
      <c r="O173" s="6">
        <f t="shared" si="38"/>
        <v>541.19952714374722</v>
      </c>
      <c r="P173" s="6">
        <f>SUM($G$2:G173)</f>
        <v>1238.6158643196698</v>
      </c>
      <c r="Q173" s="6">
        <f t="shared" si="39"/>
        <v>2047.4163371759223</v>
      </c>
      <c r="R173" s="6">
        <f t="shared" si="40"/>
        <v>2047.4163371759214</v>
      </c>
      <c r="S173" s="6">
        <f t="shared" si="41"/>
        <v>0</v>
      </c>
    </row>
    <row r="174" spans="5:19" x14ac:dyDescent="0.3">
      <c r="E174" s="2">
        <v>172</v>
      </c>
      <c r="F174" s="6">
        <f t="shared" si="29"/>
        <v>43</v>
      </c>
      <c r="G174" s="6">
        <f t="shared" si="31"/>
        <v>6.7434753832070271</v>
      </c>
      <c r="H174" s="6">
        <f t="shared" si="32"/>
        <v>529.44411070698516</v>
      </c>
      <c r="I174" s="6">
        <f t="shared" si="33"/>
        <v>6.6164637382756721</v>
      </c>
      <c r="J174" s="6">
        <f t="shared" si="34"/>
        <v>770.5558892930145</v>
      </c>
      <c r="K174" s="6">
        <f t="shared" si="35"/>
        <v>4.8167681308621617</v>
      </c>
      <c r="L174" s="6">
        <f t="shared" si="36"/>
        <v>750.36456446384409</v>
      </c>
      <c r="M174" s="6">
        <f t="shared" si="30"/>
        <v>1.8685408429398045</v>
      </c>
      <c r="N174" s="6">
        <f t="shared" si="37"/>
        <v>1.9267072523448647</v>
      </c>
      <c r="O174" s="6">
        <f t="shared" si="38"/>
        <v>544.99477523903181</v>
      </c>
      <c r="P174" s="6">
        <f>SUM($G$2:G174)</f>
        <v>1245.3593397028767</v>
      </c>
      <c r="Q174" s="6">
        <f t="shared" si="39"/>
        <v>2050.364564463845</v>
      </c>
      <c r="R174" s="6">
        <f t="shared" si="40"/>
        <v>2050.3645644638436</v>
      </c>
      <c r="S174" s="6">
        <f t="shared" si="41"/>
        <v>0</v>
      </c>
    </row>
    <row r="175" spans="5:19" x14ac:dyDescent="0.3">
      <c r="E175" s="2">
        <v>173</v>
      </c>
      <c r="F175" s="6">
        <f t="shared" si="29"/>
        <v>43.25</v>
      </c>
      <c r="G175" s="6">
        <f t="shared" si="31"/>
        <v>6.742364031313878</v>
      </c>
      <c r="H175" s="6">
        <f t="shared" si="32"/>
        <v>529.56842335446174</v>
      </c>
      <c r="I175" s="6">
        <f t="shared" si="33"/>
        <v>6.6180513838373143</v>
      </c>
      <c r="J175" s="6">
        <f t="shared" si="34"/>
        <v>770.43157664553792</v>
      </c>
      <c r="K175" s="6">
        <f t="shared" si="35"/>
        <v>4.8159743080813406</v>
      </c>
      <c r="L175" s="6">
        <f t="shared" si="36"/>
        <v>753.30462736076583</v>
      </c>
      <c r="M175" s="6">
        <f t="shared" si="30"/>
        <v>1.8759114111596102</v>
      </c>
      <c r="N175" s="6">
        <f t="shared" si="37"/>
        <v>1.9263897232325362</v>
      </c>
      <c r="O175" s="6">
        <f t="shared" si="38"/>
        <v>548.79707637342392</v>
      </c>
      <c r="P175" s="6">
        <f>SUM($G$2:G175)</f>
        <v>1252.1017037341906</v>
      </c>
      <c r="Q175" s="6">
        <f t="shared" si="39"/>
        <v>2053.304627360767</v>
      </c>
      <c r="R175" s="6">
        <f t="shared" si="40"/>
        <v>2053.3046273607652</v>
      </c>
      <c r="S175" s="6">
        <f t="shared" si="41"/>
        <v>0</v>
      </c>
    </row>
    <row r="176" spans="5:19" x14ac:dyDescent="0.3">
      <c r="E176" s="2">
        <v>174</v>
      </c>
      <c r="F176" s="6">
        <f t="shared" si="29"/>
        <v>43.5</v>
      </c>
      <c r="G176" s="6">
        <f t="shared" si="31"/>
        <v>6.7412762956484578</v>
      </c>
      <c r="H176" s="6">
        <f t="shared" si="32"/>
        <v>529.69009435817941</v>
      </c>
      <c r="I176" s="6">
        <f t="shared" si="33"/>
        <v>6.619605291930772</v>
      </c>
      <c r="J176" s="6">
        <f t="shared" si="34"/>
        <v>770.30990564182025</v>
      </c>
      <c r="K176" s="6">
        <f t="shared" si="35"/>
        <v>4.8151973540346118</v>
      </c>
      <c r="L176" s="6">
        <f t="shared" si="36"/>
        <v>756.23656314639857</v>
      </c>
      <c r="M176" s="6">
        <f t="shared" si="30"/>
        <v>1.8832615684019147</v>
      </c>
      <c r="N176" s="6">
        <f t="shared" si="37"/>
        <v>1.9260789416138449</v>
      </c>
      <c r="O176" s="6">
        <f t="shared" si="38"/>
        <v>552.60641688343969</v>
      </c>
      <c r="P176" s="6">
        <f>SUM($G$2:G176)</f>
        <v>1258.8429800298391</v>
      </c>
      <c r="Q176" s="6">
        <f t="shared" si="39"/>
        <v>2056.2365631463995</v>
      </c>
      <c r="R176" s="6">
        <f t="shared" si="40"/>
        <v>2056.2365631463981</v>
      </c>
      <c r="S176" s="6">
        <f t="shared" si="41"/>
        <v>0</v>
      </c>
    </row>
    <row r="177" spans="5:19" x14ac:dyDescent="0.3">
      <c r="E177" s="2">
        <v>175</v>
      </c>
      <c r="F177" s="6">
        <f t="shared" si="29"/>
        <v>43.75</v>
      </c>
      <c r="G177" s="6">
        <f t="shared" si="31"/>
        <v>6.7402116743659279</v>
      </c>
      <c r="H177" s="6">
        <f t="shared" si="32"/>
        <v>529.80917985306814</v>
      </c>
      <c r="I177" s="6">
        <f t="shared" si="33"/>
        <v>6.6211261794772422</v>
      </c>
      <c r="J177" s="6">
        <f t="shared" si="34"/>
        <v>770.19082014693151</v>
      </c>
      <c r="K177" s="6">
        <f t="shared" si="35"/>
        <v>4.8144369102613762</v>
      </c>
      <c r="L177" s="6">
        <f t="shared" si="36"/>
        <v>759.16040864879392</v>
      </c>
      <c r="M177" s="6">
        <f t="shared" si="30"/>
        <v>1.8905914078659964</v>
      </c>
      <c r="N177" s="6">
        <f t="shared" si="37"/>
        <v>1.9257747641045506</v>
      </c>
      <c r="O177" s="6">
        <f t="shared" si="38"/>
        <v>556.42278305541015</v>
      </c>
      <c r="P177" s="6">
        <f>SUM($G$2:G177)</f>
        <v>1265.5831917042051</v>
      </c>
      <c r="Q177" s="6">
        <f t="shared" si="39"/>
        <v>2059.1604086487951</v>
      </c>
      <c r="R177" s="6">
        <f t="shared" si="40"/>
        <v>2059.1604086487932</v>
      </c>
      <c r="S177" s="6">
        <f t="shared" si="41"/>
        <v>0</v>
      </c>
    </row>
    <row r="178" spans="5:19" x14ac:dyDescent="0.3">
      <c r="E178" s="2">
        <v>176</v>
      </c>
      <c r="F178" s="6">
        <f t="shared" si="29"/>
        <v>44</v>
      </c>
      <c r="G178" s="6">
        <f t="shared" si="31"/>
        <v>6.739169676285651</v>
      </c>
      <c r="H178" s="6">
        <f t="shared" si="32"/>
        <v>529.9257347811905</v>
      </c>
      <c r="I178" s="6">
        <f t="shared" si="33"/>
        <v>6.6226147481633522</v>
      </c>
      <c r="J178" s="6">
        <f t="shared" si="34"/>
        <v>770.07426521880916</v>
      </c>
      <c r="K178" s="6">
        <f t="shared" si="35"/>
        <v>4.8136926259183221</v>
      </c>
      <c r="L178" s="6">
        <f t="shared" si="36"/>
        <v>762.07620025309029</v>
      </c>
      <c r="M178" s="6">
        <f t="shared" si="30"/>
        <v>1.8979010216219849</v>
      </c>
      <c r="N178" s="6">
        <f t="shared" si="37"/>
        <v>1.9254770503673289</v>
      </c>
      <c r="O178" s="6">
        <f t="shared" si="38"/>
        <v>560.24616112739955</v>
      </c>
      <c r="P178" s="6">
        <f>SUM($G$2:G178)</f>
        <v>1272.3223613804907</v>
      </c>
      <c r="Q178" s="6">
        <f t="shared" si="39"/>
        <v>2062.076200253091</v>
      </c>
      <c r="R178" s="6">
        <f t="shared" si="40"/>
        <v>2062.0762002530901</v>
      </c>
      <c r="S178" s="6">
        <f t="shared" si="41"/>
        <v>0</v>
      </c>
    </row>
    <row r="179" spans="5:19" x14ac:dyDescent="0.3">
      <c r="E179" s="2">
        <v>177</v>
      </c>
      <c r="F179" s="6">
        <f t="shared" si="29"/>
        <v>44.25</v>
      </c>
      <c r="G179" s="6">
        <f t="shared" si="31"/>
        <v>6.7381498206645807</v>
      </c>
      <c r="H179" s="6">
        <f t="shared" si="32"/>
        <v>530.03981291709022</v>
      </c>
      <c r="I179" s="6">
        <f t="shared" si="33"/>
        <v>6.6240716847648811</v>
      </c>
      <c r="J179" s="6">
        <f t="shared" si="34"/>
        <v>769.96018708290944</v>
      </c>
      <c r="K179" s="6">
        <f t="shared" si="35"/>
        <v>4.8129641576175572</v>
      </c>
      <c r="L179" s="6">
        <f t="shared" si="36"/>
        <v>764.98397391007518</v>
      </c>
      <c r="M179" s="6">
        <f t="shared" si="30"/>
        <v>1.9051905006327257</v>
      </c>
      <c r="N179" s="6">
        <f t="shared" si="37"/>
        <v>1.925185663047023</v>
      </c>
      <c r="O179" s="6">
        <f t="shared" si="38"/>
        <v>564.07653729107926</v>
      </c>
      <c r="P179" s="6">
        <f>SUM($G$2:G179)</f>
        <v>1279.0605112011554</v>
      </c>
      <c r="Q179" s="6">
        <f t="shared" si="39"/>
        <v>2064.9839739100762</v>
      </c>
      <c r="R179" s="6">
        <f t="shared" si="40"/>
        <v>2064.9839739100748</v>
      </c>
      <c r="S179" s="6">
        <f t="shared" si="41"/>
        <v>0</v>
      </c>
    </row>
    <row r="180" spans="5:19" x14ac:dyDescent="0.3">
      <c r="E180" s="2">
        <v>178</v>
      </c>
      <c r="F180" s="6">
        <f t="shared" si="29"/>
        <v>44.5</v>
      </c>
      <c r="G180" s="6">
        <f t="shared" si="31"/>
        <v>6.737151636975458</v>
      </c>
      <c r="H180" s="6">
        <f t="shared" si="32"/>
        <v>530.151466892602</v>
      </c>
      <c r="I180" s="6">
        <f t="shared" si="33"/>
        <v>6.6254976614636281</v>
      </c>
      <c r="J180" s="6">
        <f t="shared" si="34"/>
        <v>769.84853310739766</v>
      </c>
      <c r="K180" s="6">
        <f t="shared" si="35"/>
        <v>4.8122511692681842</v>
      </c>
      <c r="L180" s="6">
        <f t="shared" si="36"/>
        <v>767.8837651445682</v>
      </c>
      <c r="M180" s="6">
        <f t="shared" si="30"/>
        <v>1.9124599347751881</v>
      </c>
      <c r="N180" s="6">
        <f t="shared" si="37"/>
        <v>1.9249004677072736</v>
      </c>
      <c r="O180" s="6">
        <f t="shared" si="38"/>
        <v>567.91389769356169</v>
      </c>
      <c r="P180" s="6">
        <f>SUM($G$2:G180)</f>
        <v>1285.7976628381309</v>
      </c>
      <c r="Q180" s="6">
        <f t="shared" si="39"/>
        <v>2067.8837651445692</v>
      </c>
      <c r="R180" s="6">
        <f t="shared" si="40"/>
        <v>2067.8837651445679</v>
      </c>
      <c r="S180" s="6">
        <f t="shared" si="41"/>
        <v>0</v>
      </c>
    </row>
    <row r="181" spans="5:19" x14ac:dyDescent="0.3">
      <c r="E181" s="2">
        <v>179</v>
      </c>
      <c r="F181" s="6">
        <f t="shared" si="29"/>
        <v>44.75</v>
      </c>
      <c r="G181" s="6">
        <f t="shared" si="31"/>
        <v>6.73617466468973</v>
      </c>
      <c r="H181" s="6">
        <f t="shared" si="32"/>
        <v>530.26074822113424</v>
      </c>
      <c r="I181" s="6">
        <f t="shared" si="33"/>
        <v>6.6268933361575248</v>
      </c>
      <c r="J181" s="6">
        <f t="shared" si="34"/>
        <v>769.73925177886542</v>
      </c>
      <c r="K181" s="6">
        <f t="shared" si="35"/>
        <v>4.8115533319212354</v>
      </c>
      <c r="L181" s="6">
        <f t="shared" si="36"/>
        <v>770.77560906362805</v>
      </c>
      <c r="M181" s="6">
        <f t="shared" si="30"/>
        <v>1.9197094128614205</v>
      </c>
      <c r="N181" s="6">
        <f t="shared" si="37"/>
        <v>1.9246213327684942</v>
      </c>
      <c r="O181" s="6">
        <f t="shared" si="38"/>
        <v>571.75822843919161</v>
      </c>
      <c r="P181" s="6">
        <f>SUM($G$2:G181)</f>
        <v>1292.5338375028207</v>
      </c>
      <c r="Q181" s="6">
        <f t="shared" si="39"/>
        <v>2070.775609063629</v>
      </c>
      <c r="R181" s="6">
        <f t="shared" si="40"/>
        <v>2070.7756090636276</v>
      </c>
      <c r="S181" s="6">
        <f t="shared" si="41"/>
        <v>0</v>
      </c>
    </row>
    <row r="182" spans="5:19" x14ac:dyDescent="0.3">
      <c r="E182" s="2">
        <v>180</v>
      </c>
      <c r="F182" s="6">
        <f t="shared" si="29"/>
        <v>45</v>
      </c>
      <c r="G182" s="6">
        <f t="shared" si="31"/>
        <v>6.7352184530650732</v>
      </c>
      <c r="H182" s="6">
        <f t="shared" si="32"/>
        <v>530.36770732143509</v>
      </c>
      <c r="I182" s="6">
        <f t="shared" si="33"/>
        <v>6.6282593527641778</v>
      </c>
      <c r="J182" s="6">
        <f t="shared" si="34"/>
        <v>769.63229267856457</v>
      </c>
      <c r="K182" s="6">
        <f t="shared" si="35"/>
        <v>4.8108703236179089</v>
      </c>
      <c r="L182" s="6">
        <f t="shared" si="36"/>
        <v>773.65954036458686</v>
      </c>
      <c r="M182" s="6">
        <f t="shared" si="30"/>
        <v>1.9269390226590701</v>
      </c>
      <c r="N182" s="6">
        <f t="shared" si="37"/>
        <v>1.9243481294471636</v>
      </c>
      <c r="O182" s="6">
        <f t="shared" si="38"/>
        <v>575.60951559129785</v>
      </c>
      <c r="P182" s="6">
        <f>SUM($G$2:G182)</f>
        <v>1299.2690559558857</v>
      </c>
      <c r="Q182" s="6">
        <f t="shared" si="39"/>
        <v>2073.6595403645879</v>
      </c>
      <c r="R182" s="6">
        <f t="shared" si="40"/>
        <v>2073.6595403645865</v>
      </c>
      <c r="S182" s="6">
        <f t="shared" si="41"/>
        <v>0</v>
      </c>
    </row>
    <row r="183" spans="5:19" x14ac:dyDescent="0.3">
      <c r="E183" s="2">
        <v>181</v>
      </c>
      <c r="F183" s="6">
        <f t="shared" si="29"/>
        <v>45.25</v>
      </c>
      <c r="G183" s="6">
        <f t="shared" si="31"/>
        <v>6.7342825609374408</v>
      </c>
      <c r="H183" s="6">
        <f t="shared" si="32"/>
        <v>530.47239354085457</v>
      </c>
      <c r="I183" s="6">
        <f t="shared" si="33"/>
        <v>6.6295963415179386</v>
      </c>
      <c r="J183" s="6">
        <f t="shared" si="34"/>
        <v>769.52760645914509</v>
      </c>
      <c r="K183" s="6">
        <f t="shared" si="35"/>
        <v>4.8102018292410289</v>
      </c>
      <c r="L183" s="6">
        <f t="shared" si="36"/>
        <v>776.5355933429164</v>
      </c>
      <c r="M183" s="6">
        <f t="shared" si="30"/>
        <v>1.9341488509114673</v>
      </c>
      <c r="N183" s="6">
        <f t="shared" si="37"/>
        <v>1.9240807316964115</v>
      </c>
      <c r="O183" s="6">
        <f t="shared" si="38"/>
        <v>579.46774517390577</v>
      </c>
      <c r="P183" s="6">
        <f>SUM($G$2:G183)</f>
        <v>1306.0033385168231</v>
      </c>
      <c r="Q183" s="6">
        <f t="shared" si="39"/>
        <v>2076.5355933429173</v>
      </c>
      <c r="R183" s="6">
        <f t="shared" si="40"/>
        <v>2076.5355933429159</v>
      </c>
      <c r="S183" s="6">
        <f t="shared" si="41"/>
        <v>0</v>
      </c>
    </row>
    <row r="184" spans="5:19" x14ac:dyDescent="0.3">
      <c r="E184" s="2">
        <v>182</v>
      </c>
      <c r="F184" s="6">
        <f t="shared" si="29"/>
        <v>45.5</v>
      </c>
      <c r="G184" s="6">
        <f t="shared" si="31"/>
        <v>6.7333665565175203</v>
      </c>
      <c r="H184" s="6">
        <f t="shared" si="32"/>
        <v>530.57485517811142</v>
      </c>
      <c r="I184" s="6">
        <f t="shared" si="33"/>
        <v>6.6309049192606819</v>
      </c>
      <c r="J184" s="6">
        <f t="shared" si="34"/>
        <v>769.42514482188835</v>
      </c>
      <c r="K184" s="6">
        <f t="shared" si="35"/>
        <v>4.8095475403696568</v>
      </c>
      <c r="L184" s="6">
        <f t="shared" si="36"/>
        <v>779.40380189992879</v>
      </c>
      <c r="M184" s="6">
        <f t="shared" si="30"/>
        <v>1.9413389833572909</v>
      </c>
      <c r="N184" s="6">
        <f t="shared" si="37"/>
        <v>1.9238190161478628</v>
      </c>
      <c r="O184" s="6">
        <f t="shared" si="38"/>
        <v>583.33290317341084</v>
      </c>
      <c r="P184" s="6">
        <f>SUM($G$2:G184)</f>
        <v>1312.7367050733405</v>
      </c>
      <c r="Q184" s="6">
        <f t="shared" si="39"/>
        <v>2079.4038018999299</v>
      </c>
      <c r="R184" s="6">
        <f t="shared" si="40"/>
        <v>2079.4038018999286</v>
      </c>
      <c r="S184" s="6">
        <f t="shared" si="41"/>
        <v>0</v>
      </c>
    </row>
    <row r="185" spans="5:19" x14ac:dyDescent="0.3">
      <c r="E185" s="2">
        <v>183</v>
      </c>
      <c r="F185" s="6">
        <f t="shared" si="29"/>
        <v>45.75</v>
      </c>
      <c r="G185" s="6">
        <f t="shared" si="31"/>
        <v>6.7324700171915239</v>
      </c>
      <c r="H185" s="6">
        <f t="shared" si="32"/>
        <v>530.67513950557657</v>
      </c>
      <c r="I185" s="6">
        <f t="shared" si="33"/>
        <v>6.6321856897263931</v>
      </c>
      <c r="J185" s="6">
        <f t="shared" si="34"/>
        <v>769.32486049442321</v>
      </c>
      <c r="K185" s="6">
        <f t="shared" si="35"/>
        <v>4.8089071551368026</v>
      </c>
      <c r="L185" s="6">
        <f t="shared" si="36"/>
        <v>782.26419955031577</v>
      </c>
      <c r="M185" s="6">
        <f t="shared" si="30"/>
        <v>1.948509504749822</v>
      </c>
      <c r="N185" s="6">
        <f t="shared" si="37"/>
        <v>1.9235628620547209</v>
      </c>
      <c r="O185" s="6">
        <f t="shared" si="38"/>
        <v>587.2049755402154</v>
      </c>
      <c r="P185" s="6">
        <f>SUM($G$2:G185)</f>
        <v>1319.469175090532</v>
      </c>
      <c r="Q185" s="6">
        <f t="shared" si="39"/>
        <v>2082.2641995503168</v>
      </c>
      <c r="R185" s="6">
        <f t="shared" si="40"/>
        <v>2082.2641995503154</v>
      </c>
      <c r="S185" s="6">
        <f t="shared" si="41"/>
        <v>0</v>
      </c>
    </row>
    <row r="186" spans="5:19" x14ac:dyDescent="0.3">
      <c r="E186" s="2">
        <v>184</v>
      </c>
      <c r="F186" s="6">
        <f t="shared" si="29"/>
        <v>46</v>
      </c>
      <c r="G186" s="6">
        <f t="shared" si="31"/>
        <v>6.7315925293262033</v>
      </c>
      <c r="H186" s="6">
        <f t="shared" si="32"/>
        <v>530.77329279108301</v>
      </c>
      <c r="I186" s="6">
        <f t="shared" si="33"/>
        <v>6.6334392438197067</v>
      </c>
      <c r="J186" s="6">
        <f t="shared" si="34"/>
        <v>769.22670720891676</v>
      </c>
      <c r="K186" s="6">
        <f t="shared" si="35"/>
        <v>4.8082803780901449</v>
      </c>
      <c r="L186" s="6">
        <f t="shared" si="36"/>
        <v>785.1168194295301</v>
      </c>
      <c r="M186" s="6">
        <f t="shared" si="30"/>
        <v>1.9556604988757895</v>
      </c>
      <c r="N186" s="6">
        <f t="shared" si="37"/>
        <v>1.923312151236058</v>
      </c>
      <c r="O186" s="6">
        <f t="shared" si="38"/>
        <v>591.08394819032719</v>
      </c>
      <c r="P186" s="6">
        <f>SUM($G$2:G186)</f>
        <v>1326.2007676198582</v>
      </c>
      <c r="Q186" s="6">
        <f t="shared" si="39"/>
        <v>2085.116819429531</v>
      </c>
      <c r="R186" s="6">
        <f t="shared" si="40"/>
        <v>2085.1168194295296</v>
      </c>
      <c r="S186" s="6">
        <f t="shared" si="41"/>
        <v>0</v>
      </c>
    </row>
    <row r="187" spans="5:19" x14ac:dyDescent="0.3">
      <c r="E187" s="2">
        <v>185</v>
      </c>
      <c r="F187" s="6">
        <f t="shared" si="29"/>
        <v>46.25</v>
      </c>
      <c r="G187" s="6">
        <f t="shared" si="31"/>
        <v>6.730733688078022</v>
      </c>
      <c r="H187" s="6">
        <f t="shared" si="32"/>
        <v>530.86936031927246</v>
      </c>
      <c r="I187" s="6">
        <f t="shared" si="33"/>
        <v>6.6346661598885373</v>
      </c>
      <c r="J187" s="6">
        <f t="shared" si="34"/>
        <v>769.13063968072731</v>
      </c>
      <c r="K187" s="6">
        <f t="shared" si="35"/>
        <v>4.8076669200557296</v>
      </c>
      <c r="L187" s="6">
        <f t="shared" si="36"/>
        <v>787.96169430101202</v>
      </c>
      <c r="M187" s="6">
        <f t="shared" si="30"/>
        <v>1.9627920485738253</v>
      </c>
      <c r="N187" s="6">
        <f t="shared" si="37"/>
        <v>1.9230667680222919</v>
      </c>
      <c r="O187" s="6">
        <f t="shared" si="38"/>
        <v>594.96980700692336</v>
      </c>
      <c r="P187" s="6">
        <f>SUM($G$2:G187)</f>
        <v>1332.9315013079363</v>
      </c>
      <c r="Q187" s="6">
        <f t="shared" si="39"/>
        <v>2087.9616943010128</v>
      </c>
      <c r="R187" s="6">
        <f t="shared" si="40"/>
        <v>2087.9616943010119</v>
      </c>
      <c r="S187" s="6">
        <f t="shared" si="41"/>
        <v>0</v>
      </c>
    </row>
    <row r="188" spans="5:19" x14ac:dyDescent="0.3">
      <c r="E188" s="2">
        <v>186</v>
      </c>
      <c r="F188" s="6">
        <f t="shared" si="29"/>
        <v>46.5</v>
      </c>
      <c r="G188" s="6">
        <f t="shared" si="31"/>
        <v>6.7298930972063644</v>
      </c>
      <c r="H188" s="6">
        <f t="shared" si="32"/>
        <v>530.96338641248792</v>
      </c>
      <c r="I188" s="6">
        <f t="shared" si="33"/>
        <v>6.6358670039909056</v>
      </c>
      <c r="J188" s="6">
        <f t="shared" si="34"/>
        <v>769.03661358751185</v>
      </c>
      <c r="K188" s="6">
        <f t="shared" si="35"/>
        <v>4.8070664980045459</v>
      </c>
      <c r="L188" s="6">
        <f t="shared" si="36"/>
        <v>790.79885656326405</v>
      </c>
      <c r="M188" s="6">
        <f t="shared" si="30"/>
        <v>1.96990423575253</v>
      </c>
      <c r="N188" s="6">
        <f t="shared" si="37"/>
        <v>1.9228265992018183</v>
      </c>
      <c r="O188" s="6">
        <f t="shared" si="38"/>
        <v>598.86253784187772</v>
      </c>
      <c r="P188" s="6">
        <f>SUM($G$2:G188)</f>
        <v>1339.6613944051426</v>
      </c>
      <c r="Q188" s="6">
        <f t="shared" si="39"/>
        <v>2090.7988565632645</v>
      </c>
      <c r="R188" s="6">
        <f t="shared" si="40"/>
        <v>2090.7988565632641</v>
      </c>
      <c r="S188" s="6">
        <f t="shared" si="41"/>
        <v>0</v>
      </c>
    </row>
    <row r="189" spans="5:19" x14ac:dyDescent="0.3">
      <c r="E189" s="2">
        <v>187</v>
      </c>
      <c r="F189" s="6">
        <f t="shared" si="29"/>
        <v>46.75</v>
      </c>
      <c r="G189" s="6">
        <f t="shared" si="31"/>
        <v>6.7290703688907296</v>
      </c>
      <c r="H189" s="6">
        <f t="shared" si="32"/>
        <v>531.05541445122253</v>
      </c>
      <c r="I189" s="6">
        <f t="shared" si="33"/>
        <v>6.637042330156099</v>
      </c>
      <c r="J189" s="6">
        <f t="shared" si="34"/>
        <v>768.94458554877724</v>
      </c>
      <c r="K189" s="6">
        <f t="shared" si="35"/>
        <v>4.8064788349219487</v>
      </c>
      <c r="L189" s="6">
        <f t="shared" si="36"/>
        <v>793.62833825677785</v>
      </c>
      <c r="M189" s="6">
        <f t="shared" si="30"/>
        <v>1.9769971414081602</v>
      </c>
      <c r="N189" s="6">
        <f t="shared" si="37"/>
        <v>1.9225915339687796</v>
      </c>
      <c r="O189" s="6">
        <f t="shared" si="38"/>
        <v>602.76212651725461</v>
      </c>
      <c r="P189" s="6">
        <f>SUM($G$2:G189)</f>
        <v>1346.3904647740333</v>
      </c>
      <c r="Q189" s="6">
        <f t="shared" si="39"/>
        <v>2093.6283382567785</v>
      </c>
      <c r="R189" s="6">
        <f t="shared" si="40"/>
        <v>2093.6283382567776</v>
      </c>
      <c r="S189" s="6">
        <f t="shared" si="41"/>
        <v>0</v>
      </c>
    </row>
    <row r="190" spans="5:19" x14ac:dyDescent="0.3">
      <c r="E190" s="2">
        <v>188</v>
      </c>
      <c r="F190" s="6">
        <f t="shared" si="29"/>
        <v>47</v>
      </c>
      <c r="G190" s="6">
        <f t="shared" si="31"/>
        <v>6.7282651235518012</v>
      </c>
      <c r="H190" s="6">
        <f t="shared" si="32"/>
        <v>531.14548689413402</v>
      </c>
      <c r="I190" s="6">
        <f t="shared" si="33"/>
        <v>6.638192680640282</v>
      </c>
      <c r="J190" s="6">
        <f t="shared" si="34"/>
        <v>768.85451310586564</v>
      </c>
      <c r="K190" s="6">
        <f t="shared" si="35"/>
        <v>4.8059036596798581</v>
      </c>
      <c r="L190" s="6">
        <f t="shared" si="36"/>
        <v>796.45017107081571</v>
      </c>
      <c r="M190" s="6">
        <f t="shared" si="30"/>
        <v>1.9840708456419447</v>
      </c>
      <c r="N190" s="6">
        <f t="shared" si="37"/>
        <v>1.9223614638719431</v>
      </c>
      <c r="O190" s="6">
        <f t="shared" si="38"/>
        <v>606.6685588267685</v>
      </c>
      <c r="P190" s="6">
        <f>SUM($G$2:G190)</f>
        <v>1353.1187298975851</v>
      </c>
      <c r="Q190" s="6">
        <f t="shared" si="39"/>
        <v>2096.4501710708164</v>
      </c>
      <c r="R190" s="6">
        <f t="shared" si="40"/>
        <v>2096.4501710708155</v>
      </c>
      <c r="S190" s="6">
        <f t="shared" si="41"/>
        <v>0</v>
      </c>
    </row>
    <row r="191" spans="5:19" x14ac:dyDescent="0.3">
      <c r="E191" s="2">
        <v>189</v>
      </c>
      <c r="F191" s="6">
        <f t="shared" si="29"/>
        <v>47.25</v>
      </c>
      <c r="G191" s="6">
        <f t="shared" si="31"/>
        <v>6.7274769896763251</v>
      </c>
      <c r="H191" s="6">
        <f t="shared" si="32"/>
        <v>531.23364529763364</v>
      </c>
      <c r="I191" s="6">
        <f t="shared" si="33"/>
        <v>6.6393185861766755</v>
      </c>
      <c r="J191" s="6">
        <f t="shared" si="34"/>
        <v>768.76635470236602</v>
      </c>
      <c r="K191" s="6">
        <f t="shared" si="35"/>
        <v>4.80534070691166</v>
      </c>
      <c r="L191" s="6">
        <f t="shared" si="36"/>
        <v>799.26438635005036</v>
      </c>
      <c r="M191" s="6">
        <f t="shared" si="30"/>
        <v>1.9911254276770394</v>
      </c>
      <c r="N191" s="6">
        <f t="shared" si="37"/>
        <v>1.9221362827646642</v>
      </c>
      <c r="O191" s="6">
        <f t="shared" si="38"/>
        <v>610.58182053721021</v>
      </c>
      <c r="P191" s="6">
        <f>SUM($G$2:G191)</f>
        <v>1359.8462068872614</v>
      </c>
      <c r="Q191" s="6">
        <f t="shared" si="39"/>
        <v>2099.2643863500512</v>
      </c>
      <c r="R191" s="6">
        <f t="shared" si="40"/>
        <v>2099.2643863500498</v>
      </c>
      <c r="S191" s="6">
        <f t="shared" si="41"/>
        <v>0</v>
      </c>
    </row>
    <row r="192" spans="5:19" x14ac:dyDescent="0.3">
      <c r="E192" s="2">
        <v>190</v>
      </c>
      <c r="F192" s="6">
        <f t="shared" si="29"/>
        <v>47.5</v>
      </c>
      <c r="G192" s="6">
        <f t="shared" si="31"/>
        <v>6.7267056036457031</v>
      </c>
      <c r="H192" s="6">
        <f t="shared" si="32"/>
        <v>531.31993033505887</v>
      </c>
      <c r="I192" s="6">
        <f t="shared" si="33"/>
        <v>6.6404205662204205</v>
      </c>
      <c r="J192" s="6">
        <f t="shared" si="34"/>
        <v>768.68006966494079</v>
      </c>
      <c r="K192" s="6">
        <f t="shared" si="35"/>
        <v>4.804789716889788</v>
      </c>
      <c r="L192" s="6">
        <f t="shared" si="36"/>
        <v>802.07101510106497</v>
      </c>
      <c r="M192" s="6">
        <f t="shared" si="30"/>
        <v>1.998160965875126</v>
      </c>
      <c r="N192" s="6">
        <f t="shared" si="37"/>
        <v>1.9219158867559152</v>
      </c>
      <c r="O192" s="6">
        <f t="shared" si="38"/>
        <v>614.50189738984125</v>
      </c>
      <c r="P192" s="6">
        <f>SUM($G$2:G192)</f>
        <v>1366.5729124909071</v>
      </c>
      <c r="Q192" s="6">
        <f t="shared" si="39"/>
        <v>2102.0710151010658</v>
      </c>
      <c r="R192" s="6">
        <f t="shared" si="40"/>
        <v>2102.0710151010644</v>
      </c>
      <c r="S192" s="6">
        <f t="shared" si="41"/>
        <v>0</v>
      </c>
    </row>
    <row r="193" spans="5:19" x14ac:dyDescent="0.3">
      <c r="E193" s="2">
        <v>191</v>
      </c>
      <c r="F193" s="6">
        <f t="shared" si="29"/>
        <v>47.75</v>
      </c>
      <c r="G193" s="6">
        <f t="shared" si="31"/>
        <v>6.7259506095682324</v>
      </c>
      <c r="H193" s="6">
        <f t="shared" si="32"/>
        <v>531.40438181543891</v>
      </c>
      <c r="I193" s="6">
        <f t="shared" si="33"/>
        <v>6.6414991291882357</v>
      </c>
      <c r="J193" s="6">
        <f t="shared" si="34"/>
        <v>768.59561818456086</v>
      </c>
      <c r="K193" s="6">
        <f t="shared" si="35"/>
        <v>4.8042504354058799</v>
      </c>
      <c r="L193" s="6">
        <f t="shared" si="36"/>
        <v>804.87008799871819</v>
      </c>
      <c r="M193" s="6">
        <f t="shared" si="30"/>
        <v>2.0051775377526626</v>
      </c>
      <c r="N193" s="6">
        <f t="shared" si="37"/>
        <v>1.9217001741623521</v>
      </c>
      <c r="O193" s="6">
        <f t="shared" si="38"/>
        <v>618.42877510175617</v>
      </c>
      <c r="P193" s="6">
        <f>SUM($G$2:G193)</f>
        <v>1373.2988631004753</v>
      </c>
      <c r="Q193" s="6">
        <f t="shared" si="39"/>
        <v>2104.8700879987191</v>
      </c>
      <c r="R193" s="6">
        <f t="shared" si="40"/>
        <v>2104.8700879987182</v>
      </c>
      <c r="S193" s="6">
        <f t="shared" si="41"/>
        <v>0</v>
      </c>
    </row>
    <row r="194" spans="5:19" x14ac:dyDescent="0.3">
      <c r="E194" s="2">
        <v>192</v>
      </c>
      <c r="F194" s="6">
        <f t="shared" ref="F194:F257" si="42">E194*$B$2</f>
        <v>48</v>
      </c>
      <c r="G194" s="6">
        <f t="shared" si="31"/>
        <v>6.7252116591149083</v>
      </c>
      <c r="H194" s="6">
        <f t="shared" si="32"/>
        <v>531.4870387018608</v>
      </c>
      <c r="I194" s="6">
        <f t="shared" si="33"/>
        <v>6.6425547726929866</v>
      </c>
      <c r="J194" s="6">
        <f t="shared" si="34"/>
        <v>768.51296129813898</v>
      </c>
      <c r="K194" s="6">
        <f t="shared" si="35"/>
        <v>4.8037226136535054</v>
      </c>
      <c r="L194" s="6">
        <f t="shared" si="36"/>
        <v>807.66163539237493</v>
      </c>
      <c r="M194" s="6">
        <f t="shared" si="30"/>
        <v>2.0121752199967955</v>
      </c>
      <c r="N194" s="6">
        <f t="shared" si="37"/>
        <v>1.9214890454614022</v>
      </c>
      <c r="O194" s="6">
        <f t="shared" si="38"/>
        <v>622.36243936721439</v>
      </c>
      <c r="P194" s="6">
        <f>SUM($G$2:G194)</f>
        <v>1380.0240747595901</v>
      </c>
      <c r="Q194" s="6">
        <f t="shared" si="39"/>
        <v>2107.6616353923755</v>
      </c>
      <c r="R194" s="6">
        <f t="shared" si="40"/>
        <v>2107.6616353923746</v>
      </c>
      <c r="S194" s="6">
        <f t="shared" si="41"/>
        <v>0</v>
      </c>
    </row>
    <row r="195" spans="5:19" x14ac:dyDescent="0.3">
      <c r="E195" s="2">
        <v>193</v>
      </c>
      <c r="F195" s="6">
        <f t="shared" si="42"/>
        <v>48.25</v>
      </c>
      <c r="G195" s="6">
        <f t="shared" si="31"/>
        <v>6.7244884113587169</v>
      </c>
      <c r="H195" s="6">
        <f t="shared" si="32"/>
        <v>531.56793912944624</v>
      </c>
      <c r="I195" s="6">
        <f t="shared" si="33"/>
        <v>6.6435879837732603</v>
      </c>
      <c r="J195" s="6">
        <f t="shared" si="34"/>
        <v>768.43206087055353</v>
      </c>
      <c r="K195" s="6">
        <f t="shared" si="35"/>
        <v>4.803206008113369</v>
      </c>
      <c r="L195" s="6">
        <f t="shared" si="36"/>
        <v>810.44568731200741</v>
      </c>
      <c r="M195" s="6">
        <f t="shared" ref="M195:M258" si="43">L194*$B$8*$B$2</f>
        <v>2.0191540884809376</v>
      </c>
      <c r="N195" s="6">
        <f t="shared" si="37"/>
        <v>1.9212824032453475</v>
      </c>
      <c r="O195" s="6">
        <f t="shared" si="38"/>
        <v>626.30287585894064</v>
      </c>
      <c r="P195" s="6">
        <f>SUM($G$2:G195)</f>
        <v>1386.7485631709487</v>
      </c>
      <c r="Q195" s="6">
        <f t="shared" si="39"/>
        <v>2110.445687312008</v>
      </c>
      <c r="R195" s="6">
        <f t="shared" si="40"/>
        <v>2110.4456873120071</v>
      </c>
      <c r="S195" s="6">
        <f t="shared" si="41"/>
        <v>0</v>
      </c>
    </row>
    <row r="196" spans="5:19" x14ac:dyDescent="0.3">
      <c r="E196" s="2">
        <v>194</v>
      </c>
      <c r="F196" s="6">
        <f t="shared" si="42"/>
        <v>48.5</v>
      </c>
      <c r="G196" s="6">
        <f t="shared" ref="G196:G259" si="44">J195*$B$7*$B$2</f>
        <v>6.7237805326173437</v>
      </c>
      <c r="H196" s="6">
        <f t="shared" ref="H196:H259" si="45">H195+(G196-I196)</f>
        <v>531.64712042294548</v>
      </c>
      <c r="I196" s="6">
        <f t="shared" ref="I196:I259" si="46">H195*$B$2/$B$10</f>
        <v>6.6445992391180777</v>
      </c>
      <c r="J196" s="6">
        <f t="shared" ref="J196:J259" si="47">J195+I196-K196-N196</f>
        <v>768.3528795770543</v>
      </c>
      <c r="K196" s="6">
        <f t="shared" ref="K196:K259" si="48">J195*$B$2/$B$11</f>
        <v>4.8027003804409594</v>
      </c>
      <c r="L196" s="6">
        <f t="shared" ref="L196:L259" si="49">L195+(K196-M196)</f>
        <v>813.22227347416833</v>
      </c>
      <c r="M196" s="6">
        <f t="shared" si="43"/>
        <v>2.0261142182800187</v>
      </c>
      <c r="N196" s="6">
        <f t="shared" ref="N196:N259" si="50">J195*$B$9*$B$2</f>
        <v>1.9210801521763838</v>
      </c>
      <c r="O196" s="6">
        <f t="shared" ref="O196:O259" si="51">O195+M196+N196</f>
        <v>630.25007022939701</v>
      </c>
      <c r="P196" s="6">
        <f>SUM($G$2:G196)</f>
        <v>1393.4723437035661</v>
      </c>
      <c r="Q196" s="6">
        <f t="shared" ref="Q196:Q259" si="52">$B$3+P196-O196</f>
        <v>2113.2222734741695</v>
      </c>
      <c r="R196" s="6">
        <f t="shared" ref="R196:R259" si="53">H196+J196+L196</f>
        <v>2113.2222734741681</v>
      </c>
      <c r="S196" s="6">
        <f t="shared" ref="S196:S259" si="54">Q196-R196</f>
        <v>0</v>
      </c>
    </row>
    <row r="197" spans="5:19" x14ac:dyDescent="0.3">
      <c r="E197" s="2">
        <v>195</v>
      </c>
      <c r="F197" s="6">
        <f t="shared" si="42"/>
        <v>48.75</v>
      </c>
      <c r="G197" s="6">
        <f t="shared" si="44"/>
        <v>6.7230876962992259</v>
      </c>
      <c r="H197" s="6">
        <f t="shared" si="45"/>
        <v>531.72461911395783</v>
      </c>
      <c r="I197" s="6">
        <f t="shared" si="46"/>
        <v>6.6455890052868183</v>
      </c>
      <c r="J197" s="6">
        <f t="shared" si="47"/>
        <v>768.27538088604194</v>
      </c>
      <c r="K197" s="6">
        <f t="shared" si="48"/>
        <v>4.8022054973565895</v>
      </c>
      <c r="L197" s="6">
        <f t="shared" si="49"/>
        <v>815.99142328783955</v>
      </c>
      <c r="M197" s="6">
        <f t="shared" si="43"/>
        <v>2.0330556836854208</v>
      </c>
      <c r="N197" s="6">
        <f t="shared" si="50"/>
        <v>1.9208821989426357</v>
      </c>
      <c r="O197" s="6">
        <f t="shared" si="51"/>
        <v>634.20400811202512</v>
      </c>
      <c r="P197" s="6">
        <f>SUM($G$2:G197)</f>
        <v>1400.1954313998654</v>
      </c>
      <c r="Q197" s="6">
        <f t="shared" si="52"/>
        <v>2115.99142328784</v>
      </c>
      <c r="R197" s="6">
        <f t="shared" si="53"/>
        <v>2115.9914232878391</v>
      </c>
      <c r="S197" s="6">
        <f t="shared" si="54"/>
        <v>0</v>
      </c>
    </row>
    <row r="198" spans="5:19" x14ac:dyDescent="0.3">
      <c r="E198" s="2">
        <v>196</v>
      </c>
      <c r="F198" s="6">
        <f t="shared" si="42"/>
        <v>49</v>
      </c>
      <c r="G198" s="6">
        <f t="shared" si="44"/>
        <v>6.722409582752868</v>
      </c>
      <c r="H198" s="6">
        <f t="shared" si="45"/>
        <v>531.80047095778627</v>
      </c>
      <c r="I198" s="6">
        <f t="shared" si="46"/>
        <v>6.6465577389244732</v>
      </c>
      <c r="J198" s="6">
        <f t="shared" si="47"/>
        <v>768.1995290422135</v>
      </c>
      <c r="K198" s="6">
        <f t="shared" si="48"/>
        <v>4.8017211305377625</v>
      </c>
      <c r="L198" s="6">
        <f t="shared" si="49"/>
        <v>818.75316586015776</v>
      </c>
      <c r="M198" s="6">
        <f t="shared" si="43"/>
        <v>2.0399785582195991</v>
      </c>
      <c r="N198" s="6">
        <f t="shared" si="50"/>
        <v>1.9206884522151049</v>
      </c>
      <c r="O198" s="6">
        <f t="shared" si="51"/>
        <v>638.16467512245981</v>
      </c>
      <c r="P198" s="6">
        <f>SUM($G$2:G198)</f>
        <v>1406.9178409826181</v>
      </c>
      <c r="Q198" s="6">
        <f t="shared" si="52"/>
        <v>2118.7531658601583</v>
      </c>
      <c r="R198" s="6">
        <f t="shared" si="53"/>
        <v>2118.7531658601574</v>
      </c>
      <c r="S198" s="6">
        <f t="shared" si="54"/>
        <v>0</v>
      </c>
    </row>
    <row r="199" spans="5:19" x14ac:dyDescent="0.3">
      <c r="E199" s="2">
        <v>197</v>
      </c>
      <c r="F199" s="6">
        <f t="shared" si="42"/>
        <v>49.25</v>
      </c>
      <c r="G199" s="6">
        <f t="shared" si="44"/>
        <v>6.7217458791193687</v>
      </c>
      <c r="H199" s="6">
        <f t="shared" si="45"/>
        <v>531.87471094993327</v>
      </c>
      <c r="I199" s="6">
        <f t="shared" si="46"/>
        <v>6.6475058869723282</v>
      </c>
      <c r="J199" s="6">
        <f t="shared" si="47"/>
        <v>768.1252890500665</v>
      </c>
      <c r="K199" s="6">
        <f t="shared" si="48"/>
        <v>4.8012470565138345</v>
      </c>
      <c r="L199" s="6">
        <f t="shared" si="49"/>
        <v>821.50753000202121</v>
      </c>
      <c r="M199" s="6">
        <f t="shared" si="43"/>
        <v>2.0468829146503946</v>
      </c>
      <c r="N199" s="6">
        <f t="shared" si="50"/>
        <v>1.9204988226055337</v>
      </c>
      <c r="O199" s="6">
        <f t="shared" si="51"/>
        <v>642.1320568597157</v>
      </c>
      <c r="P199" s="6">
        <f>SUM($G$2:G199)</f>
        <v>1413.6395868617376</v>
      </c>
      <c r="Q199" s="6">
        <f t="shared" si="52"/>
        <v>2121.5075300020217</v>
      </c>
      <c r="R199" s="6">
        <f t="shared" si="53"/>
        <v>2121.5075300020208</v>
      </c>
      <c r="S199" s="6">
        <f t="shared" si="54"/>
        <v>0</v>
      </c>
    </row>
    <row r="200" spans="5:19" x14ac:dyDescent="0.3">
      <c r="E200" s="2">
        <v>198</v>
      </c>
      <c r="F200" s="6">
        <f t="shared" si="42"/>
        <v>49.5</v>
      </c>
      <c r="G200" s="6">
        <f t="shared" si="44"/>
        <v>6.7210962791880826</v>
      </c>
      <c r="H200" s="6">
        <f t="shared" si="45"/>
        <v>531.94737334224715</v>
      </c>
      <c r="I200" s="6">
        <f t="shared" si="46"/>
        <v>6.6484338868741659</v>
      </c>
      <c r="J200" s="6">
        <f t="shared" si="47"/>
        <v>768.05262665775263</v>
      </c>
      <c r="K200" s="6">
        <f t="shared" si="48"/>
        <v>4.8007830565629153</v>
      </c>
      <c r="L200" s="6">
        <f t="shared" si="49"/>
        <v>824.25454423357905</v>
      </c>
      <c r="M200" s="6">
        <f t="shared" si="43"/>
        <v>2.053768825005053</v>
      </c>
      <c r="N200" s="6">
        <f t="shared" si="50"/>
        <v>1.9203132226251662</v>
      </c>
      <c r="O200" s="6">
        <f t="shared" si="51"/>
        <v>646.10613890734589</v>
      </c>
      <c r="P200" s="6">
        <f>SUM($G$2:G200)</f>
        <v>1420.3606831409256</v>
      </c>
      <c r="Q200" s="6">
        <f t="shared" si="52"/>
        <v>2124.2545442335795</v>
      </c>
      <c r="R200" s="6">
        <f t="shared" si="53"/>
        <v>2124.2545442335786</v>
      </c>
      <c r="S200" s="6">
        <f t="shared" si="54"/>
        <v>0</v>
      </c>
    </row>
    <row r="201" spans="5:19" x14ac:dyDescent="0.3">
      <c r="E201" s="2">
        <v>199</v>
      </c>
      <c r="F201" s="6">
        <f t="shared" si="42"/>
        <v>49.75</v>
      </c>
      <c r="G201" s="6">
        <f t="shared" si="44"/>
        <v>6.7204604832553363</v>
      </c>
      <c r="H201" s="6">
        <f t="shared" si="45"/>
        <v>532.01849165872443</v>
      </c>
      <c r="I201" s="6">
        <f t="shared" si="46"/>
        <v>6.649342166778089</v>
      </c>
      <c r="J201" s="6">
        <f t="shared" si="47"/>
        <v>767.98150834127534</v>
      </c>
      <c r="K201" s="6">
        <f t="shared" si="48"/>
        <v>4.8003289166109537</v>
      </c>
      <c r="L201" s="6">
        <f t="shared" si="49"/>
        <v>826.99423678960602</v>
      </c>
      <c r="M201" s="6">
        <f t="shared" si="43"/>
        <v>2.0606363605839477</v>
      </c>
      <c r="N201" s="6">
        <f t="shared" si="50"/>
        <v>1.9201315666443817</v>
      </c>
      <c r="O201" s="6">
        <f t="shared" si="51"/>
        <v>650.08690683457428</v>
      </c>
      <c r="P201" s="6">
        <f>SUM($G$2:G201)</f>
        <v>1427.0811436241809</v>
      </c>
      <c r="Q201" s="6">
        <f t="shared" si="52"/>
        <v>2126.9942367896069</v>
      </c>
      <c r="R201" s="6">
        <f t="shared" si="53"/>
        <v>2126.9942367896056</v>
      </c>
      <c r="S201" s="6">
        <f t="shared" si="54"/>
        <v>0</v>
      </c>
    </row>
    <row r="202" spans="5:19" x14ac:dyDescent="0.3">
      <c r="E202" s="2">
        <v>200</v>
      </c>
      <c r="F202" s="6">
        <f t="shared" si="42"/>
        <v>50</v>
      </c>
      <c r="G202" s="6">
        <f t="shared" si="44"/>
        <v>6.7198381979861601</v>
      </c>
      <c r="H202" s="6">
        <f t="shared" si="45"/>
        <v>532.08809871097651</v>
      </c>
      <c r="I202" s="6">
        <f t="shared" si="46"/>
        <v>6.6502311457340557</v>
      </c>
      <c r="J202" s="6">
        <f t="shared" si="47"/>
        <v>767.91190128902326</v>
      </c>
      <c r="K202" s="6">
        <f t="shared" si="48"/>
        <v>4.7998844271329713</v>
      </c>
      <c r="L202" s="6">
        <f t="shared" si="49"/>
        <v>829.72663562476498</v>
      </c>
      <c r="M202" s="6">
        <f t="shared" si="43"/>
        <v>2.0674855919740152</v>
      </c>
      <c r="N202" s="6">
        <f t="shared" si="50"/>
        <v>1.9199537708531884</v>
      </c>
      <c r="O202" s="6">
        <f t="shared" si="51"/>
        <v>654.0743461974015</v>
      </c>
      <c r="P202" s="6">
        <f>SUM($G$2:G202)</f>
        <v>1433.8009818221669</v>
      </c>
      <c r="Q202" s="6">
        <f t="shared" si="52"/>
        <v>2129.7266356247655</v>
      </c>
      <c r="R202" s="6">
        <f t="shared" si="53"/>
        <v>2129.7266356247646</v>
      </c>
      <c r="S202" s="6">
        <f t="shared" si="54"/>
        <v>0</v>
      </c>
    </row>
    <row r="203" spans="5:19" x14ac:dyDescent="0.3">
      <c r="E203" s="2">
        <v>201</v>
      </c>
      <c r="F203" s="6">
        <f t="shared" si="42"/>
        <v>50.25</v>
      </c>
      <c r="G203" s="6">
        <f t="shared" si="44"/>
        <v>6.7192291362789538</v>
      </c>
      <c r="H203" s="6">
        <f t="shared" si="45"/>
        <v>532.15622661336829</v>
      </c>
      <c r="I203" s="6">
        <f t="shared" si="46"/>
        <v>6.6511012338872062</v>
      </c>
      <c r="J203" s="6">
        <f t="shared" si="47"/>
        <v>767.84377338663148</v>
      </c>
      <c r="K203" s="6">
        <f t="shared" si="48"/>
        <v>4.7994493830563956</v>
      </c>
      <c r="L203" s="6">
        <f t="shared" si="49"/>
        <v>832.45176841875946</v>
      </c>
      <c r="M203" s="6">
        <f t="shared" si="43"/>
        <v>2.0743165890619126</v>
      </c>
      <c r="N203" s="6">
        <f t="shared" si="50"/>
        <v>1.9197797532225582</v>
      </c>
      <c r="O203" s="6">
        <f t="shared" si="51"/>
        <v>658.06844253968598</v>
      </c>
      <c r="P203" s="6">
        <f>SUM($G$2:G203)</f>
        <v>1440.5202109584459</v>
      </c>
      <c r="Q203" s="6">
        <f t="shared" si="52"/>
        <v>2132.4517684187604</v>
      </c>
      <c r="R203" s="6">
        <f t="shared" si="53"/>
        <v>2132.4517684187595</v>
      </c>
      <c r="S203" s="6">
        <f t="shared" si="54"/>
        <v>0</v>
      </c>
    </row>
    <row r="204" spans="5:19" x14ac:dyDescent="0.3">
      <c r="E204" s="2">
        <v>202</v>
      </c>
      <c r="F204" s="6">
        <f t="shared" si="42"/>
        <v>50.5</v>
      </c>
      <c r="G204" s="6">
        <f t="shared" si="44"/>
        <v>6.7186330171330262</v>
      </c>
      <c r="H204" s="6">
        <f t="shared" si="45"/>
        <v>532.22290679783418</v>
      </c>
      <c r="I204" s="6">
        <f t="shared" si="46"/>
        <v>6.6519528326671038</v>
      </c>
      <c r="J204" s="6">
        <f t="shared" si="47"/>
        <v>767.77709320216559</v>
      </c>
      <c r="K204" s="6">
        <f t="shared" si="48"/>
        <v>4.7990235836664468</v>
      </c>
      <c r="L204" s="6">
        <f t="shared" si="49"/>
        <v>835.16966258137904</v>
      </c>
      <c r="M204" s="6">
        <f t="shared" si="43"/>
        <v>2.0811294210468985</v>
      </c>
      <c r="N204" s="6">
        <f t="shared" si="50"/>
        <v>1.9196094334665788</v>
      </c>
      <c r="O204" s="6">
        <f t="shared" si="51"/>
        <v>662.0691813941994</v>
      </c>
      <c r="P204" s="6">
        <f>SUM($G$2:G204)</f>
        <v>1447.2388439755789</v>
      </c>
      <c r="Q204" s="6">
        <f t="shared" si="52"/>
        <v>2135.1696625813793</v>
      </c>
      <c r="R204" s="6">
        <f t="shared" si="53"/>
        <v>2135.1696625813788</v>
      </c>
      <c r="S204" s="6">
        <f t="shared" si="54"/>
        <v>0</v>
      </c>
    </row>
    <row r="205" spans="5:19" x14ac:dyDescent="0.3">
      <c r="E205" s="2">
        <v>203</v>
      </c>
      <c r="F205" s="6">
        <f t="shared" si="42"/>
        <v>50.75</v>
      </c>
      <c r="G205" s="6">
        <f t="shared" si="44"/>
        <v>6.7180495655189496</v>
      </c>
      <c r="H205" s="6">
        <f t="shared" si="45"/>
        <v>532.28817002838025</v>
      </c>
      <c r="I205" s="6">
        <f t="shared" si="46"/>
        <v>6.6527863349729275</v>
      </c>
      <c r="J205" s="6">
        <f t="shared" si="47"/>
        <v>767.71182997161952</v>
      </c>
      <c r="K205" s="6">
        <f t="shared" si="48"/>
        <v>4.7986068325135349</v>
      </c>
      <c r="L205" s="6">
        <f t="shared" si="49"/>
        <v>837.8803452574391</v>
      </c>
      <c r="M205" s="6">
        <f t="shared" si="43"/>
        <v>2.0879241564534476</v>
      </c>
      <c r="N205" s="6">
        <f t="shared" si="50"/>
        <v>1.919442733005414</v>
      </c>
      <c r="O205" s="6">
        <f t="shared" si="51"/>
        <v>666.07654828365833</v>
      </c>
      <c r="P205" s="6">
        <f>SUM($G$2:G205)</f>
        <v>1453.9568935410978</v>
      </c>
      <c r="Q205" s="6">
        <f t="shared" si="52"/>
        <v>2137.8803452574398</v>
      </c>
      <c r="R205" s="6">
        <f t="shared" si="53"/>
        <v>2137.8803452574389</v>
      </c>
      <c r="S205" s="6">
        <f t="shared" si="54"/>
        <v>0</v>
      </c>
    </row>
    <row r="206" spans="5:19" x14ac:dyDescent="0.3">
      <c r="E206" s="2">
        <v>204</v>
      </c>
      <c r="F206" s="6">
        <f t="shared" si="42"/>
        <v>51</v>
      </c>
      <c r="G206" s="6">
        <f t="shared" si="44"/>
        <v>6.7174785122516711</v>
      </c>
      <c r="H206" s="6">
        <f t="shared" si="45"/>
        <v>532.35204641527719</v>
      </c>
      <c r="I206" s="6">
        <f t="shared" si="46"/>
        <v>6.6536021253547535</v>
      </c>
      <c r="J206" s="6">
        <f t="shared" si="47"/>
        <v>767.64795358472259</v>
      </c>
      <c r="K206" s="6">
        <f t="shared" si="48"/>
        <v>4.7981989373226224</v>
      </c>
      <c r="L206" s="6">
        <f t="shared" si="49"/>
        <v>840.58384333161814</v>
      </c>
      <c r="M206" s="6">
        <f t="shared" si="43"/>
        <v>2.0947008631435979</v>
      </c>
      <c r="N206" s="6">
        <f t="shared" si="50"/>
        <v>1.9192795749290488</v>
      </c>
      <c r="O206" s="6">
        <f t="shared" si="51"/>
        <v>670.09052872173095</v>
      </c>
      <c r="P206" s="6">
        <f>SUM($G$2:G206)</f>
        <v>1460.6743720533495</v>
      </c>
      <c r="Q206" s="6">
        <f t="shared" si="52"/>
        <v>2140.5838433316185</v>
      </c>
      <c r="R206" s="6">
        <f t="shared" si="53"/>
        <v>2140.583843331618</v>
      </c>
      <c r="S206" s="6">
        <f t="shared" si="54"/>
        <v>0</v>
      </c>
    </row>
    <row r="207" spans="5:19" x14ac:dyDescent="0.3">
      <c r="E207" s="2">
        <v>205</v>
      </c>
      <c r="F207" s="6">
        <f t="shared" si="42"/>
        <v>51.25</v>
      </c>
      <c r="G207" s="6">
        <f t="shared" si="44"/>
        <v>6.7169195938663231</v>
      </c>
      <c r="H207" s="6">
        <f t="shared" si="45"/>
        <v>532.41456542895253</v>
      </c>
      <c r="I207" s="6">
        <f t="shared" si="46"/>
        <v>6.6544005801909645</v>
      </c>
      <c r="J207" s="6">
        <f t="shared" si="47"/>
        <v>767.58543457104724</v>
      </c>
      <c r="K207" s="6">
        <f t="shared" si="48"/>
        <v>4.797799709904516</v>
      </c>
      <c r="L207" s="6">
        <f t="shared" si="49"/>
        <v>843.28018343319366</v>
      </c>
      <c r="M207" s="6">
        <f t="shared" si="43"/>
        <v>2.1014596083290455</v>
      </c>
      <c r="N207" s="6">
        <f t="shared" si="50"/>
        <v>1.9191198839618064</v>
      </c>
      <c r="O207" s="6">
        <f t="shared" si="51"/>
        <v>674.11110821402178</v>
      </c>
      <c r="P207" s="6">
        <f>SUM($G$2:G207)</f>
        <v>1467.3912916472159</v>
      </c>
      <c r="Q207" s="6">
        <f t="shared" si="52"/>
        <v>2143.280183433194</v>
      </c>
      <c r="R207" s="6">
        <f t="shared" si="53"/>
        <v>2143.2801834331935</v>
      </c>
      <c r="S207" s="6">
        <f t="shared" si="54"/>
        <v>0</v>
      </c>
    </row>
    <row r="208" spans="5:19" x14ac:dyDescent="0.3">
      <c r="E208" s="2">
        <v>206</v>
      </c>
      <c r="F208" s="6">
        <f t="shared" si="42"/>
        <v>51.5</v>
      </c>
      <c r="G208" s="6">
        <f t="shared" si="44"/>
        <v>6.7163725524966642</v>
      </c>
      <c r="H208" s="6">
        <f t="shared" si="45"/>
        <v>532.47575591358725</v>
      </c>
      <c r="I208" s="6">
        <f t="shared" si="46"/>
        <v>6.6551820678619062</v>
      </c>
      <c r="J208" s="6">
        <f t="shared" si="47"/>
        <v>767.52424408641252</v>
      </c>
      <c r="K208" s="6">
        <f t="shared" si="48"/>
        <v>4.7974089660690451</v>
      </c>
      <c r="L208" s="6">
        <f t="shared" si="49"/>
        <v>845.96939194067977</v>
      </c>
      <c r="M208" s="6">
        <f t="shared" si="43"/>
        <v>2.1082004585829841</v>
      </c>
      <c r="N208" s="6">
        <f t="shared" si="50"/>
        <v>1.9189635864276182</v>
      </c>
      <c r="O208" s="6">
        <f t="shared" si="51"/>
        <v>678.13827225903231</v>
      </c>
      <c r="P208" s="6">
        <f>SUM($G$2:G208)</f>
        <v>1474.1076641997126</v>
      </c>
      <c r="Q208" s="6">
        <f t="shared" si="52"/>
        <v>2145.96939194068</v>
      </c>
      <c r="R208" s="6">
        <f t="shared" si="53"/>
        <v>2145.9693919406795</v>
      </c>
      <c r="S208" s="6">
        <f t="shared" si="54"/>
        <v>0</v>
      </c>
    </row>
    <row r="209" spans="5:19" x14ac:dyDescent="0.3">
      <c r="E209" s="2">
        <v>207</v>
      </c>
      <c r="F209" s="6">
        <f t="shared" si="42"/>
        <v>51.75</v>
      </c>
      <c r="G209" s="6">
        <f t="shared" si="44"/>
        <v>6.71583713575611</v>
      </c>
      <c r="H209" s="6">
        <f t="shared" si="45"/>
        <v>532.53564610042349</v>
      </c>
      <c r="I209" s="6">
        <f t="shared" si="46"/>
        <v>6.6559469489198406</v>
      </c>
      <c r="J209" s="6">
        <f t="shared" si="47"/>
        <v>767.46435389957617</v>
      </c>
      <c r="K209" s="6">
        <f t="shared" si="48"/>
        <v>4.7970265255400779</v>
      </c>
      <c r="L209" s="6">
        <f t="shared" si="49"/>
        <v>848.65149498636811</v>
      </c>
      <c r="M209" s="6">
        <f t="shared" si="43"/>
        <v>2.1149234798516994</v>
      </c>
      <c r="N209" s="6">
        <f t="shared" si="50"/>
        <v>1.9188106102160314</v>
      </c>
      <c r="O209" s="6">
        <f t="shared" si="51"/>
        <v>682.1720063491</v>
      </c>
      <c r="P209" s="6">
        <f>SUM($G$2:G209)</f>
        <v>1480.8235013354688</v>
      </c>
      <c r="Q209" s="6">
        <f t="shared" si="52"/>
        <v>2148.6514949863686</v>
      </c>
      <c r="R209" s="6">
        <f t="shared" si="53"/>
        <v>2148.6514949863677</v>
      </c>
      <c r="S209" s="6">
        <f t="shared" si="54"/>
        <v>0</v>
      </c>
    </row>
    <row r="210" spans="5:19" x14ac:dyDescent="0.3">
      <c r="E210" s="2">
        <v>208</v>
      </c>
      <c r="F210" s="6">
        <f t="shared" si="42"/>
        <v>52</v>
      </c>
      <c r="G210" s="6">
        <f t="shared" si="44"/>
        <v>6.7153130966212924</v>
      </c>
      <c r="H210" s="6">
        <f t="shared" si="45"/>
        <v>532.59426362078943</v>
      </c>
      <c r="I210" s="6">
        <f t="shared" si="46"/>
        <v>6.6566955762552933</v>
      </c>
      <c r="J210" s="6">
        <f t="shared" si="47"/>
        <v>767.40573637921011</v>
      </c>
      <c r="K210" s="6">
        <f t="shared" si="48"/>
        <v>4.7966522118723507</v>
      </c>
      <c r="L210" s="6">
        <f t="shared" si="49"/>
        <v>851.32651846077454</v>
      </c>
      <c r="M210" s="6">
        <f t="shared" si="43"/>
        <v>2.1216287374659202</v>
      </c>
      <c r="N210" s="6">
        <f t="shared" si="50"/>
        <v>1.9186608847489404</v>
      </c>
      <c r="O210" s="6">
        <f t="shared" si="51"/>
        <v>686.21229597131492</v>
      </c>
      <c r="P210" s="6">
        <f>SUM($G$2:G210)</f>
        <v>1487.53881443209</v>
      </c>
      <c r="Q210" s="6">
        <f t="shared" si="52"/>
        <v>2151.3265184607753</v>
      </c>
      <c r="R210" s="6">
        <f t="shared" si="53"/>
        <v>2151.326518460774</v>
      </c>
      <c r="S210" s="6">
        <f t="shared" si="54"/>
        <v>0</v>
      </c>
    </row>
    <row r="211" spans="5:19" x14ac:dyDescent="0.3">
      <c r="E211" s="2">
        <v>209</v>
      </c>
      <c r="F211" s="6">
        <f t="shared" si="42"/>
        <v>52.25</v>
      </c>
      <c r="G211" s="6">
        <f t="shared" si="44"/>
        <v>6.714800193318089</v>
      </c>
      <c r="H211" s="6">
        <f t="shared" si="45"/>
        <v>532.65163551884768</v>
      </c>
      <c r="I211" s="6">
        <f t="shared" si="46"/>
        <v>6.6574282952598676</v>
      </c>
      <c r="J211" s="6">
        <f t="shared" si="47"/>
        <v>767.34836448115186</v>
      </c>
      <c r="K211" s="6">
        <f t="shared" si="48"/>
        <v>4.7962858523700636</v>
      </c>
      <c r="L211" s="6">
        <f t="shared" si="49"/>
        <v>853.9944880169927</v>
      </c>
      <c r="M211" s="6">
        <f t="shared" si="43"/>
        <v>2.1283162961519362</v>
      </c>
      <c r="N211" s="6">
        <f t="shared" si="50"/>
        <v>1.9185143409480254</v>
      </c>
      <c r="O211" s="6">
        <f t="shared" si="51"/>
        <v>690.25912660841493</v>
      </c>
      <c r="P211" s="6">
        <f>SUM($G$2:G211)</f>
        <v>1494.2536146254081</v>
      </c>
      <c r="Q211" s="6">
        <f t="shared" si="52"/>
        <v>2153.9944880169928</v>
      </c>
      <c r="R211" s="6">
        <f t="shared" si="53"/>
        <v>2153.9944880169924</v>
      </c>
      <c r="S211" s="6">
        <f t="shared" si="54"/>
        <v>0</v>
      </c>
    </row>
    <row r="212" spans="5:19" x14ac:dyDescent="0.3">
      <c r="E212" s="2">
        <v>210</v>
      </c>
      <c r="F212" s="6">
        <f t="shared" si="42"/>
        <v>52.5</v>
      </c>
      <c r="G212" s="6">
        <f t="shared" si="44"/>
        <v>6.714298189210079</v>
      </c>
      <c r="H212" s="6">
        <f t="shared" si="45"/>
        <v>532.70778826407218</v>
      </c>
      <c r="I212" s="6">
        <f t="shared" si="46"/>
        <v>6.658145443985596</v>
      </c>
      <c r="J212" s="6">
        <f t="shared" si="47"/>
        <v>767.29221173592748</v>
      </c>
      <c r="K212" s="6">
        <f t="shared" si="48"/>
        <v>4.7959272780071993</v>
      </c>
      <c r="L212" s="6">
        <f t="shared" si="49"/>
        <v>856.6554290749574</v>
      </c>
      <c r="M212" s="6">
        <f t="shared" si="43"/>
        <v>2.1349862200424816</v>
      </c>
      <c r="N212" s="6">
        <f t="shared" si="50"/>
        <v>1.9183709112028797</v>
      </c>
      <c r="O212" s="6">
        <f t="shared" si="51"/>
        <v>694.31248373966025</v>
      </c>
      <c r="P212" s="6">
        <f>SUM($G$2:G212)</f>
        <v>1500.9679128146181</v>
      </c>
      <c r="Q212" s="6">
        <f t="shared" si="52"/>
        <v>2156.6554290749577</v>
      </c>
      <c r="R212" s="6">
        <f t="shared" si="53"/>
        <v>2156.6554290749568</v>
      </c>
      <c r="S212" s="6">
        <f t="shared" si="54"/>
        <v>0</v>
      </c>
    </row>
    <row r="213" spans="5:19" x14ac:dyDescent="0.3">
      <c r="E213" s="2">
        <v>211</v>
      </c>
      <c r="F213" s="6">
        <f t="shared" si="42"/>
        <v>52.75</v>
      </c>
      <c r="G213" s="6">
        <f t="shared" si="44"/>
        <v>6.7138068526893662</v>
      </c>
      <c r="H213" s="6">
        <f t="shared" si="45"/>
        <v>532.76274776346065</v>
      </c>
      <c r="I213" s="6">
        <f t="shared" si="46"/>
        <v>6.658847353300902</v>
      </c>
      <c r="J213" s="6">
        <f t="shared" si="47"/>
        <v>767.23725223653901</v>
      </c>
      <c r="K213" s="6">
        <f t="shared" si="48"/>
        <v>4.7955763233495468</v>
      </c>
      <c r="L213" s="6">
        <f t="shared" si="49"/>
        <v>859.30936682561958</v>
      </c>
      <c r="M213" s="6">
        <f t="shared" si="43"/>
        <v>2.1416385726873934</v>
      </c>
      <c r="N213" s="6">
        <f t="shared" si="50"/>
        <v>1.9182305293398187</v>
      </c>
      <c r="O213" s="6">
        <f t="shared" si="51"/>
        <v>698.37235284168742</v>
      </c>
      <c r="P213" s="6">
        <f>SUM($G$2:G213)</f>
        <v>1507.6817196673076</v>
      </c>
      <c r="Q213" s="6">
        <f t="shared" si="52"/>
        <v>2159.3093668256197</v>
      </c>
      <c r="R213" s="6">
        <f t="shared" si="53"/>
        <v>2159.3093668256192</v>
      </c>
      <c r="S213" s="6">
        <f t="shared" si="54"/>
        <v>0</v>
      </c>
    </row>
    <row r="214" spans="5:19" x14ac:dyDescent="0.3">
      <c r="E214" s="2">
        <v>212</v>
      </c>
      <c r="F214" s="6">
        <f t="shared" si="42"/>
        <v>53</v>
      </c>
      <c r="G214" s="6">
        <f t="shared" si="44"/>
        <v>6.713325957069717</v>
      </c>
      <c r="H214" s="6">
        <f t="shared" si="45"/>
        <v>532.8165393734871</v>
      </c>
      <c r="I214" s="6">
        <f t="shared" si="46"/>
        <v>6.659534347043258</v>
      </c>
      <c r="J214" s="6">
        <f t="shared" si="47"/>
        <v>767.18346062651256</v>
      </c>
      <c r="K214" s="6">
        <f t="shared" si="48"/>
        <v>4.7952328264783688</v>
      </c>
      <c r="L214" s="6">
        <f t="shared" si="49"/>
        <v>861.95632623503388</v>
      </c>
      <c r="M214" s="6">
        <f t="shared" si="43"/>
        <v>2.1482734170640492</v>
      </c>
      <c r="N214" s="6">
        <f t="shared" si="50"/>
        <v>1.9180931305913476</v>
      </c>
      <c r="O214" s="6">
        <f t="shared" si="51"/>
        <v>702.43871938934285</v>
      </c>
      <c r="P214" s="6">
        <f>SUM($G$2:G214)</f>
        <v>1514.3950456243772</v>
      </c>
      <c r="Q214" s="6">
        <f t="shared" si="52"/>
        <v>2161.9563262350348</v>
      </c>
      <c r="R214" s="6">
        <f t="shared" si="53"/>
        <v>2161.9563262350334</v>
      </c>
      <c r="S214" s="6">
        <f t="shared" si="54"/>
        <v>0</v>
      </c>
    </row>
    <row r="215" spans="5:19" x14ac:dyDescent="0.3">
      <c r="E215" s="2">
        <v>213</v>
      </c>
      <c r="F215" s="6">
        <f t="shared" si="42"/>
        <v>53.25</v>
      </c>
      <c r="G215" s="6">
        <f t="shared" si="44"/>
        <v>6.7128552804819854</v>
      </c>
      <c r="H215" s="6">
        <f t="shared" si="45"/>
        <v>532.86918791180051</v>
      </c>
      <c r="I215" s="6">
        <f t="shared" si="46"/>
        <v>6.6602067421685884</v>
      </c>
      <c r="J215" s="6">
        <f t="shared" si="47"/>
        <v>767.13081208819915</v>
      </c>
      <c r="K215" s="6">
        <f t="shared" si="48"/>
        <v>4.7948966289157031</v>
      </c>
      <c r="L215" s="6">
        <f t="shared" si="49"/>
        <v>864.596332048362</v>
      </c>
      <c r="M215" s="6">
        <f t="shared" si="43"/>
        <v>2.1548908155875846</v>
      </c>
      <c r="N215" s="6">
        <f t="shared" si="50"/>
        <v>1.9179586515662814</v>
      </c>
      <c r="O215" s="6">
        <f t="shared" si="51"/>
        <v>706.51156885649675</v>
      </c>
      <c r="P215" s="6">
        <f>SUM($G$2:G215)</f>
        <v>1521.1079009048592</v>
      </c>
      <c r="Q215" s="6">
        <f t="shared" si="52"/>
        <v>2164.5963320483625</v>
      </c>
      <c r="R215" s="6">
        <f t="shared" si="53"/>
        <v>2164.5963320483615</v>
      </c>
      <c r="S215" s="6">
        <f t="shared" si="54"/>
        <v>0</v>
      </c>
    </row>
    <row r="216" spans="5:19" x14ac:dyDescent="0.3">
      <c r="E216" s="2">
        <v>214</v>
      </c>
      <c r="F216" s="6">
        <f t="shared" si="42"/>
        <v>53.5</v>
      </c>
      <c r="G216" s="6">
        <f t="shared" si="44"/>
        <v>6.7123946057717436</v>
      </c>
      <c r="H216" s="6">
        <f t="shared" si="45"/>
        <v>532.9207176686748</v>
      </c>
      <c r="I216" s="6">
        <f t="shared" si="46"/>
        <v>6.6608648488975062</v>
      </c>
      <c r="J216" s="6">
        <f t="shared" si="47"/>
        <v>767.07928233132498</v>
      </c>
      <c r="K216" s="6">
        <f t="shared" si="48"/>
        <v>4.7945675755512447</v>
      </c>
      <c r="L216" s="6">
        <f t="shared" si="49"/>
        <v>867.22940879379235</v>
      </c>
      <c r="M216" s="6">
        <f t="shared" si="43"/>
        <v>2.161490830120905</v>
      </c>
      <c r="N216" s="6">
        <f t="shared" si="50"/>
        <v>1.9178270302204978</v>
      </c>
      <c r="O216" s="6">
        <f t="shared" si="51"/>
        <v>710.5908867168381</v>
      </c>
      <c r="P216" s="6">
        <f>SUM($G$2:G216)</f>
        <v>1527.820295510631</v>
      </c>
      <c r="Q216" s="6">
        <f t="shared" si="52"/>
        <v>2167.2294087937926</v>
      </c>
      <c r="R216" s="6">
        <f t="shared" si="53"/>
        <v>2167.2294087937921</v>
      </c>
      <c r="S216" s="6">
        <f t="shared" si="54"/>
        <v>0</v>
      </c>
    </row>
    <row r="217" spans="5:19" x14ac:dyDescent="0.3">
      <c r="E217" s="2">
        <v>215</v>
      </c>
      <c r="F217" s="6">
        <f t="shared" si="42"/>
        <v>53.75</v>
      </c>
      <c r="G217" s="6">
        <f t="shared" si="44"/>
        <v>6.7119437203990939</v>
      </c>
      <c r="H217" s="6">
        <f t="shared" si="45"/>
        <v>532.97115241821541</v>
      </c>
      <c r="I217" s="6">
        <f t="shared" si="46"/>
        <v>6.661508970858435</v>
      </c>
      <c r="J217" s="6">
        <f t="shared" si="47"/>
        <v>767.02884758178436</v>
      </c>
      <c r="K217" s="6">
        <f t="shared" si="48"/>
        <v>4.7942455145707807</v>
      </c>
      <c r="L217" s="6">
        <f t="shared" si="49"/>
        <v>869.8555807863786</v>
      </c>
      <c r="M217" s="6">
        <f t="shared" si="43"/>
        <v>2.1680735219844811</v>
      </c>
      <c r="N217" s="6">
        <f t="shared" si="50"/>
        <v>1.9176982058283125</v>
      </c>
      <c r="O217" s="6">
        <f t="shared" si="51"/>
        <v>714.67665844465091</v>
      </c>
      <c r="P217" s="6">
        <f>SUM($G$2:G217)</f>
        <v>1534.5322392310302</v>
      </c>
      <c r="Q217" s="6">
        <f t="shared" si="52"/>
        <v>2169.8555807863791</v>
      </c>
      <c r="R217" s="6">
        <f t="shared" si="53"/>
        <v>2169.8555807863786</v>
      </c>
      <c r="S217" s="6">
        <f t="shared" si="54"/>
        <v>0</v>
      </c>
    </row>
    <row r="218" spans="5:19" x14ac:dyDescent="0.3">
      <c r="E218" s="2">
        <v>216</v>
      </c>
      <c r="F218" s="6">
        <f t="shared" si="42"/>
        <v>54</v>
      </c>
      <c r="G218" s="6">
        <f t="shared" si="44"/>
        <v>6.7115024163406138</v>
      </c>
      <c r="H218" s="6">
        <f t="shared" si="45"/>
        <v>533.02051542932838</v>
      </c>
      <c r="I218" s="6">
        <f t="shared" si="46"/>
        <v>6.662139405227693</v>
      </c>
      <c r="J218" s="6">
        <f t="shared" si="47"/>
        <v>766.97948457067139</v>
      </c>
      <c r="K218" s="6">
        <f t="shared" si="48"/>
        <v>4.7939302973861526</v>
      </c>
      <c r="L218" s="6">
        <f t="shared" si="49"/>
        <v>872.47487213179875</v>
      </c>
      <c r="M218" s="6">
        <f t="shared" si="43"/>
        <v>2.1746389519659464</v>
      </c>
      <c r="N218" s="6">
        <f t="shared" si="50"/>
        <v>1.917572118954461</v>
      </c>
      <c r="O218" s="6">
        <f t="shared" si="51"/>
        <v>718.76886951557128</v>
      </c>
      <c r="P218" s="6">
        <f>SUM($G$2:G218)</f>
        <v>1541.2437416473708</v>
      </c>
      <c r="Q218" s="6">
        <f t="shared" si="52"/>
        <v>2172.4748721317997</v>
      </c>
      <c r="R218" s="6">
        <f t="shared" si="53"/>
        <v>2172.4748721317983</v>
      </c>
      <c r="S218" s="6">
        <f t="shared" si="54"/>
        <v>0</v>
      </c>
    </row>
    <row r="219" spans="5:19" x14ac:dyDescent="0.3">
      <c r="E219" s="2">
        <v>217</v>
      </c>
      <c r="F219" s="6">
        <f t="shared" si="42"/>
        <v>54.25</v>
      </c>
      <c r="G219" s="6">
        <f t="shared" si="44"/>
        <v>6.7110704899933751</v>
      </c>
      <c r="H219" s="6">
        <f t="shared" si="45"/>
        <v>533.06882947645511</v>
      </c>
      <c r="I219" s="6">
        <f t="shared" si="46"/>
        <v>6.6627564428666046</v>
      </c>
      <c r="J219" s="6">
        <f t="shared" si="47"/>
        <v>766.93117052354455</v>
      </c>
      <c r="K219" s="6">
        <f t="shared" si="48"/>
        <v>4.7936217785666964</v>
      </c>
      <c r="L219" s="6">
        <f t="shared" si="49"/>
        <v>875.08730673003595</v>
      </c>
      <c r="M219" s="6">
        <f t="shared" si="43"/>
        <v>2.1811871803294971</v>
      </c>
      <c r="N219" s="6">
        <f t="shared" si="50"/>
        <v>1.9174487114266785</v>
      </c>
      <c r="O219" s="6">
        <f t="shared" si="51"/>
        <v>722.86750540732749</v>
      </c>
      <c r="P219" s="6">
        <f>SUM($G$2:G219)</f>
        <v>1547.9548121373641</v>
      </c>
      <c r="Q219" s="6">
        <f t="shared" si="52"/>
        <v>2175.0873067300367</v>
      </c>
      <c r="R219" s="6">
        <f t="shared" si="53"/>
        <v>2175.0873067300354</v>
      </c>
      <c r="S219" s="6">
        <f t="shared" si="54"/>
        <v>0</v>
      </c>
    </row>
    <row r="220" spans="5:19" x14ac:dyDescent="0.3">
      <c r="E220" s="2">
        <v>218</v>
      </c>
      <c r="F220" s="6">
        <f t="shared" si="42"/>
        <v>54.5</v>
      </c>
      <c r="G220" s="6">
        <f t="shared" si="44"/>
        <v>6.7106477420810151</v>
      </c>
      <c r="H220" s="6">
        <f t="shared" si="45"/>
        <v>533.1161168500804</v>
      </c>
      <c r="I220" s="6">
        <f t="shared" si="46"/>
        <v>6.663360368455689</v>
      </c>
      <c r="J220" s="6">
        <f t="shared" si="47"/>
        <v>766.88388314991914</v>
      </c>
      <c r="K220" s="6">
        <f t="shared" si="48"/>
        <v>4.7933198157721533</v>
      </c>
      <c r="L220" s="6">
        <f t="shared" si="49"/>
        <v>877.69290827898305</v>
      </c>
      <c r="M220" s="6">
        <f t="shared" si="43"/>
        <v>2.1877182668250899</v>
      </c>
      <c r="N220" s="6">
        <f t="shared" si="50"/>
        <v>1.9173279263088614</v>
      </c>
      <c r="O220" s="6">
        <f t="shared" si="51"/>
        <v>726.97255160046143</v>
      </c>
      <c r="P220" s="6">
        <f>SUM($G$2:G220)</f>
        <v>1554.6654598794451</v>
      </c>
      <c r="Q220" s="6">
        <f t="shared" si="52"/>
        <v>2177.6929082789834</v>
      </c>
      <c r="R220" s="6">
        <f t="shared" si="53"/>
        <v>2177.6929082789825</v>
      </c>
      <c r="S220" s="6">
        <f t="shared" si="54"/>
        <v>0</v>
      </c>
    </row>
    <row r="221" spans="5:19" x14ac:dyDescent="0.3">
      <c r="E221" s="2">
        <v>219</v>
      </c>
      <c r="F221" s="6">
        <f t="shared" si="42"/>
        <v>54.75</v>
      </c>
      <c r="G221" s="6">
        <f t="shared" si="44"/>
        <v>6.710233977561793</v>
      </c>
      <c r="H221" s="6">
        <f t="shared" si="45"/>
        <v>533.16239936701618</v>
      </c>
      <c r="I221" s="6">
        <f t="shared" si="46"/>
        <v>6.6639514606260049</v>
      </c>
      <c r="J221" s="6">
        <f t="shared" si="47"/>
        <v>766.83760063298337</v>
      </c>
      <c r="K221" s="6">
        <f t="shared" si="48"/>
        <v>4.7930242696869945</v>
      </c>
      <c r="L221" s="6">
        <f t="shared" si="49"/>
        <v>880.29170027797261</v>
      </c>
      <c r="M221" s="6">
        <f t="shared" si="43"/>
        <v>2.1942322706974577</v>
      </c>
      <c r="N221" s="6">
        <f t="shared" si="50"/>
        <v>1.9172097078747978</v>
      </c>
      <c r="O221" s="6">
        <f t="shared" si="51"/>
        <v>731.08399357903374</v>
      </c>
      <c r="P221" s="6">
        <f>SUM($G$2:G221)</f>
        <v>1561.3756938570068</v>
      </c>
      <c r="Q221" s="6">
        <f t="shared" si="52"/>
        <v>2180.2917002779732</v>
      </c>
      <c r="R221" s="6">
        <f t="shared" si="53"/>
        <v>2180.2917002779723</v>
      </c>
      <c r="S221" s="6">
        <f t="shared" si="54"/>
        <v>0</v>
      </c>
    </row>
    <row r="222" spans="5:19" x14ac:dyDescent="0.3">
      <c r="E222" s="2">
        <v>220</v>
      </c>
      <c r="F222" s="6">
        <f t="shared" si="42"/>
        <v>55</v>
      </c>
      <c r="G222" s="6">
        <f t="shared" si="44"/>
        <v>6.7098290055386052</v>
      </c>
      <c r="H222" s="6">
        <f t="shared" si="45"/>
        <v>533.20769838046704</v>
      </c>
      <c r="I222" s="6">
        <f t="shared" si="46"/>
        <v>6.6645299920877026</v>
      </c>
      <c r="J222" s="6">
        <f t="shared" si="47"/>
        <v>766.79230161953251</v>
      </c>
      <c r="K222" s="6">
        <f t="shared" si="48"/>
        <v>4.792735003956146</v>
      </c>
      <c r="L222" s="6">
        <f t="shared" si="49"/>
        <v>882.88370603123383</v>
      </c>
      <c r="M222" s="6">
        <f t="shared" si="43"/>
        <v>2.2007292506949314</v>
      </c>
      <c r="N222" s="6">
        <f t="shared" si="50"/>
        <v>1.9170940015824585</v>
      </c>
      <c r="O222" s="6">
        <f t="shared" si="51"/>
        <v>735.20181683131113</v>
      </c>
      <c r="P222" s="6">
        <f>SUM($G$2:G222)</f>
        <v>1568.0855228625453</v>
      </c>
      <c r="Q222" s="6">
        <f t="shared" si="52"/>
        <v>2182.8837060312339</v>
      </c>
      <c r="R222" s="6">
        <f t="shared" si="53"/>
        <v>2182.8837060312335</v>
      </c>
      <c r="S222" s="6">
        <f t="shared" si="54"/>
        <v>0</v>
      </c>
    </row>
    <row r="223" spans="5:19" x14ac:dyDescent="0.3">
      <c r="E223" s="2">
        <v>221</v>
      </c>
      <c r="F223" s="6">
        <f t="shared" si="42"/>
        <v>55.25</v>
      </c>
      <c r="G223" s="6">
        <f t="shared" si="44"/>
        <v>6.7094326391709105</v>
      </c>
      <c r="H223" s="6">
        <f t="shared" si="45"/>
        <v>533.25203478988215</v>
      </c>
      <c r="I223" s="6">
        <f t="shared" si="46"/>
        <v>6.6650962297558376</v>
      </c>
      <c r="J223" s="6">
        <f t="shared" si="47"/>
        <v>766.7479652101174</v>
      </c>
      <c r="K223" s="6">
        <f t="shared" si="48"/>
        <v>4.7924518851220785</v>
      </c>
      <c r="L223" s="6">
        <f t="shared" si="49"/>
        <v>885.46894865127786</v>
      </c>
      <c r="M223" s="6">
        <f t="shared" si="43"/>
        <v>2.2072092650780846</v>
      </c>
      <c r="N223" s="6">
        <f t="shared" si="50"/>
        <v>1.9169807540488313</v>
      </c>
      <c r="O223" s="6">
        <f t="shared" si="51"/>
        <v>739.32600685043803</v>
      </c>
      <c r="P223" s="6">
        <f>SUM($G$2:G223)</f>
        <v>1574.7949555017162</v>
      </c>
      <c r="Q223" s="6">
        <f t="shared" si="52"/>
        <v>2185.468948651278</v>
      </c>
      <c r="R223" s="6">
        <f t="shared" si="53"/>
        <v>2185.4689486512775</v>
      </c>
      <c r="S223" s="6">
        <f t="shared" si="54"/>
        <v>0</v>
      </c>
    </row>
    <row r="224" spans="5:19" x14ac:dyDescent="0.3">
      <c r="E224" s="2">
        <v>222</v>
      </c>
      <c r="F224" s="6">
        <f t="shared" si="42"/>
        <v>55.5</v>
      </c>
      <c r="G224" s="6">
        <f t="shared" si="44"/>
        <v>6.7090446955885277</v>
      </c>
      <c r="H224" s="6">
        <f t="shared" si="45"/>
        <v>533.29542905059714</v>
      </c>
      <c r="I224" s="6">
        <f t="shared" si="46"/>
        <v>6.6656504348735268</v>
      </c>
      <c r="J224" s="6">
        <f t="shared" si="47"/>
        <v>766.70457094940241</v>
      </c>
      <c r="K224" s="6">
        <f t="shared" si="48"/>
        <v>4.7921747825632339</v>
      </c>
      <c r="L224" s="6">
        <f t="shared" si="49"/>
        <v>888.04745106221287</v>
      </c>
      <c r="M224" s="6">
        <f t="shared" si="43"/>
        <v>2.2136723716281947</v>
      </c>
      <c r="N224" s="6">
        <f t="shared" si="50"/>
        <v>1.9168699130252935</v>
      </c>
      <c r="O224" s="6">
        <f t="shared" si="51"/>
        <v>743.45654913509145</v>
      </c>
      <c r="P224" s="6">
        <f>SUM($G$2:G224)</f>
        <v>1581.5040001973048</v>
      </c>
      <c r="Q224" s="6">
        <f t="shared" si="52"/>
        <v>2188.0474510622134</v>
      </c>
      <c r="R224" s="6">
        <f t="shared" si="53"/>
        <v>2188.0474510622125</v>
      </c>
      <c r="S224" s="6">
        <f t="shared" si="54"/>
        <v>0</v>
      </c>
    </row>
    <row r="225" spans="5:19" x14ac:dyDescent="0.3">
      <c r="E225" s="2">
        <v>223</v>
      </c>
      <c r="F225" s="6">
        <f t="shared" si="42"/>
        <v>55.75</v>
      </c>
      <c r="G225" s="6">
        <f t="shared" si="44"/>
        <v>6.7086649958072719</v>
      </c>
      <c r="H225" s="6">
        <f t="shared" si="45"/>
        <v>533.33790118327192</v>
      </c>
      <c r="I225" s="6">
        <f t="shared" si="46"/>
        <v>6.6661928631324638</v>
      </c>
      <c r="J225" s="6">
        <f t="shared" si="47"/>
        <v>766.66209881672751</v>
      </c>
      <c r="K225" s="6">
        <f t="shared" si="48"/>
        <v>4.7919035684337654</v>
      </c>
      <c r="L225" s="6">
        <f t="shared" si="49"/>
        <v>890.6192360029911</v>
      </c>
      <c r="M225" s="6">
        <f t="shared" si="43"/>
        <v>2.2201186276555323</v>
      </c>
      <c r="N225" s="6">
        <f t="shared" si="50"/>
        <v>1.9167614273735061</v>
      </c>
      <c r="O225" s="6">
        <f t="shared" si="51"/>
        <v>747.59342919012056</v>
      </c>
      <c r="P225" s="6">
        <f>SUM($G$2:G225)</f>
        <v>1588.2126651931121</v>
      </c>
      <c r="Q225" s="6">
        <f t="shared" si="52"/>
        <v>2190.6192360029918</v>
      </c>
      <c r="R225" s="6">
        <f t="shared" si="53"/>
        <v>2190.6192360029909</v>
      </c>
      <c r="S225" s="6">
        <f t="shared" si="54"/>
        <v>0</v>
      </c>
    </row>
    <row r="226" spans="5:19" x14ac:dyDescent="0.3">
      <c r="E226" s="2">
        <v>224</v>
      </c>
      <c r="F226" s="6">
        <f t="shared" si="42"/>
        <v>56</v>
      </c>
      <c r="G226" s="6">
        <f t="shared" si="44"/>
        <v>6.7082933646463667</v>
      </c>
      <c r="H226" s="6">
        <f t="shared" si="45"/>
        <v>533.37947078312743</v>
      </c>
      <c r="I226" s="6">
        <f t="shared" si="46"/>
        <v>6.6667237647908992</v>
      </c>
      <c r="J226" s="6">
        <f t="shared" si="47"/>
        <v>766.620529216872</v>
      </c>
      <c r="K226" s="6">
        <f t="shared" si="48"/>
        <v>4.7916381176045473</v>
      </c>
      <c r="L226" s="6">
        <f t="shared" si="49"/>
        <v>893.18432603058818</v>
      </c>
      <c r="M226" s="6">
        <f t="shared" si="43"/>
        <v>2.2265480900074777</v>
      </c>
      <c r="N226" s="6">
        <f t="shared" si="50"/>
        <v>1.9166552470418188</v>
      </c>
      <c r="O226" s="6">
        <f t="shared" si="51"/>
        <v>751.73663252716983</v>
      </c>
      <c r="P226" s="6">
        <f>SUM($G$2:G226)</f>
        <v>1594.9209585577585</v>
      </c>
      <c r="Q226" s="6">
        <f t="shared" si="52"/>
        <v>2193.1843260305886</v>
      </c>
      <c r="R226" s="6">
        <f t="shared" si="53"/>
        <v>2193.1843260305877</v>
      </c>
      <c r="S226" s="6">
        <f t="shared" si="54"/>
        <v>0</v>
      </c>
    </row>
    <row r="227" spans="5:19" x14ac:dyDescent="0.3">
      <c r="E227" s="2">
        <v>225</v>
      </c>
      <c r="F227" s="6">
        <f t="shared" si="42"/>
        <v>56.25</v>
      </c>
      <c r="G227" s="6">
        <f t="shared" si="44"/>
        <v>6.707929630647631</v>
      </c>
      <c r="H227" s="6">
        <f t="shared" si="45"/>
        <v>533.42015702898595</v>
      </c>
      <c r="I227" s="6">
        <f t="shared" si="46"/>
        <v>6.6672433847890931</v>
      </c>
      <c r="J227" s="6">
        <f t="shared" si="47"/>
        <v>766.57984297101348</v>
      </c>
      <c r="K227" s="6">
        <f t="shared" si="48"/>
        <v>4.7913783076054504</v>
      </c>
      <c r="L227" s="6">
        <f t="shared" si="49"/>
        <v>895.74274352311716</v>
      </c>
      <c r="M227" s="6">
        <f t="shared" si="43"/>
        <v>2.2329608150764706</v>
      </c>
      <c r="N227" s="6">
        <f t="shared" si="50"/>
        <v>1.91655132304218</v>
      </c>
      <c r="O227" s="6">
        <f t="shared" si="51"/>
        <v>755.8861446652885</v>
      </c>
      <c r="P227" s="6">
        <f>SUM($G$2:G227)</f>
        <v>1601.6288881884061</v>
      </c>
      <c r="Q227" s="6">
        <f t="shared" si="52"/>
        <v>2195.7427435231175</v>
      </c>
      <c r="R227" s="6">
        <f t="shared" si="53"/>
        <v>2195.7427435231166</v>
      </c>
      <c r="S227" s="6">
        <f t="shared" si="54"/>
        <v>0</v>
      </c>
    </row>
    <row r="228" spans="5:19" x14ac:dyDescent="0.3">
      <c r="E228" s="2">
        <v>226</v>
      </c>
      <c r="F228" s="6">
        <f t="shared" si="42"/>
        <v>56.5</v>
      </c>
      <c r="G228" s="6">
        <f t="shared" si="44"/>
        <v>6.7075736259963685</v>
      </c>
      <c r="H228" s="6">
        <f t="shared" si="45"/>
        <v>533.45997869211999</v>
      </c>
      <c r="I228" s="6">
        <f t="shared" si="46"/>
        <v>6.6677519628623241</v>
      </c>
      <c r="J228" s="6">
        <f t="shared" si="47"/>
        <v>766.54002130787944</v>
      </c>
      <c r="K228" s="6">
        <f t="shared" si="48"/>
        <v>4.7911240185688344</v>
      </c>
      <c r="L228" s="6">
        <f t="shared" si="49"/>
        <v>898.29451068287824</v>
      </c>
      <c r="M228" s="6">
        <f t="shared" si="43"/>
        <v>2.2393568588077928</v>
      </c>
      <c r="N228" s="6">
        <f t="shared" si="50"/>
        <v>1.9164496074275337</v>
      </c>
      <c r="O228" s="6">
        <f t="shared" si="51"/>
        <v>760.04195113152389</v>
      </c>
      <c r="P228" s="6">
        <f>SUM($G$2:G228)</f>
        <v>1608.3364618144026</v>
      </c>
      <c r="Q228" s="6">
        <f t="shared" si="52"/>
        <v>2198.2945106828784</v>
      </c>
      <c r="R228" s="6">
        <f t="shared" si="53"/>
        <v>2198.2945106828779</v>
      </c>
      <c r="S228" s="6">
        <f t="shared" si="54"/>
        <v>0</v>
      </c>
    </row>
    <row r="229" spans="5:19" x14ac:dyDescent="0.3">
      <c r="E229" s="2">
        <v>227</v>
      </c>
      <c r="F229" s="6">
        <f t="shared" si="42"/>
        <v>56.75</v>
      </c>
      <c r="G229" s="6">
        <f t="shared" si="44"/>
        <v>6.7072251864439458</v>
      </c>
      <c r="H229" s="6">
        <f t="shared" si="45"/>
        <v>533.49895414491243</v>
      </c>
      <c r="I229" s="6">
        <f t="shared" si="46"/>
        <v>6.6682497336514999</v>
      </c>
      <c r="J229" s="6">
        <f t="shared" si="47"/>
        <v>766.50104585508689</v>
      </c>
      <c r="K229" s="6">
        <f t="shared" si="48"/>
        <v>4.7908751331742465</v>
      </c>
      <c r="L229" s="6">
        <f t="shared" si="49"/>
        <v>900.83964953934526</v>
      </c>
      <c r="M229" s="6">
        <f t="shared" si="43"/>
        <v>2.2457362767071958</v>
      </c>
      <c r="N229" s="6">
        <f t="shared" si="50"/>
        <v>1.9163500532696987</v>
      </c>
      <c r="O229" s="6">
        <f t="shared" si="51"/>
        <v>764.20403746150089</v>
      </c>
      <c r="P229" s="6">
        <f>SUM($G$2:G229)</f>
        <v>1615.0436870008466</v>
      </c>
      <c r="Q229" s="6">
        <f t="shared" si="52"/>
        <v>2200.8396495393458</v>
      </c>
      <c r="R229" s="6">
        <f t="shared" si="53"/>
        <v>2200.8396495393445</v>
      </c>
      <c r="S229" s="6">
        <f t="shared" si="54"/>
        <v>0</v>
      </c>
    </row>
    <row r="230" spans="5:19" x14ac:dyDescent="0.3">
      <c r="E230" s="2">
        <v>228</v>
      </c>
      <c r="F230" s="6">
        <f t="shared" si="42"/>
        <v>57</v>
      </c>
      <c r="G230" s="6">
        <f t="shared" si="44"/>
        <v>6.7068841512320105</v>
      </c>
      <c r="H230" s="6">
        <f t="shared" si="45"/>
        <v>533.53710136933307</v>
      </c>
      <c r="I230" s="6">
        <f t="shared" si="46"/>
        <v>6.6687369268114054</v>
      </c>
      <c r="J230" s="6">
        <f t="shared" si="47"/>
        <v>766.46289863066625</v>
      </c>
      <c r="K230" s="6">
        <f t="shared" si="48"/>
        <v>4.7906315365942929</v>
      </c>
      <c r="L230" s="6">
        <f t="shared" si="49"/>
        <v>903.37818195209115</v>
      </c>
      <c r="M230" s="6">
        <f t="shared" si="43"/>
        <v>2.2520991238483634</v>
      </c>
      <c r="N230" s="6">
        <f t="shared" si="50"/>
        <v>1.9162526146377172</v>
      </c>
      <c r="O230" s="6">
        <f t="shared" si="51"/>
        <v>768.37238919998697</v>
      </c>
      <c r="P230" s="6">
        <f>SUM($G$2:G230)</f>
        <v>1621.7505711520787</v>
      </c>
      <c r="Q230" s="6">
        <f t="shared" si="52"/>
        <v>2203.3781819520918</v>
      </c>
      <c r="R230" s="6">
        <f t="shared" si="53"/>
        <v>2203.3781819520905</v>
      </c>
      <c r="S230" s="6">
        <f t="shared" si="54"/>
        <v>0</v>
      </c>
    </row>
    <row r="231" spans="5:19" x14ac:dyDescent="0.3">
      <c r="E231" s="2">
        <v>229</v>
      </c>
      <c r="F231" s="6">
        <f t="shared" si="42"/>
        <v>57.25</v>
      </c>
      <c r="G231" s="6">
        <f t="shared" si="44"/>
        <v>6.7065503630183301</v>
      </c>
      <c r="H231" s="6">
        <f t="shared" si="45"/>
        <v>533.57443796523478</v>
      </c>
      <c r="I231" s="6">
        <f t="shared" si="46"/>
        <v>6.6692137671166636</v>
      </c>
      <c r="J231" s="6">
        <f t="shared" si="47"/>
        <v>766.42556203476454</v>
      </c>
      <c r="K231" s="6">
        <f t="shared" si="48"/>
        <v>4.7903931164416642</v>
      </c>
      <c r="L231" s="6">
        <f t="shared" si="49"/>
        <v>905.91012961365254</v>
      </c>
      <c r="M231" s="6">
        <f t="shared" si="43"/>
        <v>2.2584454548802277</v>
      </c>
      <c r="N231" s="6">
        <f t="shared" si="50"/>
        <v>1.9161572465766656</v>
      </c>
      <c r="O231" s="6">
        <f t="shared" si="51"/>
        <v>772.54699190144379</v>
      </c>
      <c r="P231" s="6">
        <f>SUM($G$2:G231)</f>
        <v>1628.457121515097</v>
      </c>
      <c r="Q231" s="6">
        <f t="shared" si="52"/>
        <v>2205.9101296136532</v>
      </c>
      <c r="R231" s="6">
        <f t="shared" si="53"/>
        <v>2205.9101296136519</v>
      </c>
      <c r="S231" s="6">
        <f t="shared" si="54"/>
        <v>0</v>
      </c>
    </row>
    <row r="232" spans="5:19" x14ac:dyDescent="0.3">
      <c r="E232" s="2">
        <v>230</v>
      </c>
      <c r="F232" s="6">
        <f t="shared" si="42"/>
        <v>57.5</v>
      </c>
      <c r="G232" s="6">
        <f t="shared" si="44"/>
        <v>6.7062236678041902</v>
      </c>
      <c r="H232" s="6">
        <f t="shared" si="45"/>
        <v>533.61098115847358</v>
      </c>
      <c r="I232" s="6">
        <f t="shared" si="46"/>
        <v>6.6696804745654346</v>
      </c>
      <c r="J232" s="6">
        <f t="shared" si="47"/>
        <v>766.38901884152574</v>
      </c>
      <c r="K232" s="6">
        <f t="shared" si="48"/>
        <v>4.7901597627172787</v>
      </c>
      <c r="L232" s="6">
        <f t="shared" si="49"/>
        <v>908.43551405233575</v>
      </c>
      <c r="M232" s="6">
        <f t="shared" si="43"/>
        <v>2.2647753240341313</v>
      </c>
      <c r="N232" s="6">
        <f t="shared" si="50"/>
        <v>1.9160639050869115</v>
      </c>
      <c r="O232" s="6">
        <f t="shared" si="51"/>
        <v>776.72783113056482</v>
      </c>
      <c r="P232" s="6">
        <f>SUM($G$2:G232)</f>
        <v>1635.1633451829011</v>
      </c>
      <c r="Q232" s="6">
        <f t="shared" si="52"/>
        <v>2208.4355140523362</v>
      </c>
      <c r="R232" s="6">
        <f t="shared" si="53"/>
        <v>2208.4355140523348</v>
      </c>
      <c r="S232" s="6">
        <f t="shared" si="54"/>
        <v>0</v>
      </c>
    </row>
    <row r="233" spans="5:19" x14ac:dyDescent="0.3">
      <c r="E233" s="2">
        <v>231</v>
      </c>
      <c r="F233" s="6">
        <f t="shared" si="42"/>
        <v>57.75</v>
      </c>
      <c r="G233" s="6">
        <f t="shared" si="44"/>
        <v>6.7059039148633506</v>
      </c>
      <c r="H233" s="6">
        <f t="shared" si="45"/>
        <v>533.64674780885605</v>
      </c>
      <c r="I233" s="6">
        <f t="shared" si="46"/>
        <v>6.6701372644809194</v>
      </c>
      <c r="J233" s="6">
        <f t="shared" si="47"/>
        <v>766.35325219114327</v>
      </c>
      <c r="K233" s="6">
        <f t="shared" si="48"/>
        <v>4.7899313677595359</v>
      </c>
      <c r="L233" s="6">
        <f t="shared" si="49"/>
        <v>910.95435663496448</v>
      </c>
      <c r="M233" s="6">
        <f t="shared" si="43"/>
        <v>2.2710887851308392</v>
      </c>
      <c r="N233" s="6">
        <f t="shared" si="50"/>
        <v>1.9159725471038145</v>
      </c>
      <c r="O233" s="6">
        <f t="shared" si="51"/>
        <v>780.91489246279946</v>
      </c>
      <c r="P233" s="6">
        <f>SUM($G$2:G233)</f>
        <v>1641.8692490977644</v>
      </c>
      <c r="Q233" s="6">
        <f t="shared" si="52"/>
        <v>2210.9543566349653</v>
      </c>
      <c r="R233" s="6">
        <f t="shared" si="53"/>
        <v>2210.9543566349639</v>
      </c>
      <c r="S233" s="6">
        <f t="shared" si="54"/>
        <v>0</v>
      </c>
    </row>
    <row r="234" spans="5:19" x14ac:dyDescent="0.3">
      <c r="E234" s="2">
        <v>232</v>
      </c>
      <c r="F234" s="6">
        <f t="shared" si="42"/>
        <v>58</v>
      </c>
      <c r="G234" s="6">
        <f t="shared" si="44"/>
        <v>6.7055909566725038</v>
      </c>
      <c r="H234" s="6">
        <f t="shared" si="45"/>
        <v>533.68175441791789</v>
      </c>
      <c r="I234" s="6">
        <f t="shared" si="46"/>
        <v>6.670584347610701</v>
      </c>
      <c r="J234" s="6">
        <f t="shared" si="47"/>
        <v>766.31824558208143</v>
      </c>
      <c r="K234" s="6">
        <f t="shared" si="48"/>
        <v>4.7897078261946451</v>
      </c>
      <c r="L234" s="6">
        <f t="shared" si="49"/>
        <v>913.46667856957174</v>
      </c>
      <c r="M234" s="6">
        <f t="shared" si="43"/>
        <v>2.2773858915874112</v>
      </c>
      <c r="N234" s="6">
        <f t="shared" si="50"/>
        <v>1.9158831304778583</v>
      </c>
      <c r="O234" s="6">
        <f t="shared" si="51"/>
        <v>785.1081614848647</v>
      </c>
      <c r="P234" s="6">
        <f>SUM($G$2:G234)</f>
        <v>1648.5748400544369</v>
      </c>
      <c r="Q234" s="6">
        <f t="shared" si="52"/>
        <v>2213.4666785695727</v>
      </c>
      <c r="R234" s="6">
        <f t="shared" si="53"/>
        <v>2213.4666785695708</v>
      </c>
      <c r="S234" s="6">
        <f t="shared" si="54"/>
        <v>0</v>
      </c>
    </row>
    <row r="235" spans="5:19" x14ac:dyDescent="0.3">
      <c r="E235" s="2">
        <v>233</v>
      </c>
      <c r="F235" s="6">
        <f t="shared" si="42"/>
        <v>58.25</v>
      </c>
      <c r="G235" s="6">
        <f t="shared" si="44"/>
        <v>6.7052846488432127</v>
      </c>
      <c r="H235" s="6">
        <f t="shared" si="45"/>
        <v>533.71601713653718</v>
      </c>
      <c r="I235" s="6">
        <f t="shared" si="46"/>
        <v>6.6710219302239739</v>
      </c>
      <c r="J235" s="6">
        <f t="shared" si="47"/>
        <v>766.28398286346226</v>
      </c>
      <c r="K235" s="6">
        <f t="shared" si="48"/>
        <v>4.7894890348880086</v>
      </c>
      <c r="L235" s="6">
        <f t="shared" si="49"/>
        <v>915.97250090803584</v>
      </c>
      <c r="M235" s="6">
        <f t="shared" si="43"/>
        <v>2.2836666964239294</v>
      </c>
      <c r="N235" s="6">
        <f t="shared" si="50"/>
        <v>1.9157956139552037</v>
      </c>
      <c r="O235" s="6">
        <f t="shared" si="51"/>
        <v>789.30762379524379</v>
      </c>
      <c r="P235" s="6">
        <f>SUM($G$2:G235)</f>
        <v>1655.2801247032801</v>
      </c>
      <c r="Q235" s="6">
        <f t="shared" si="52"/>
        <v>2215.9725009080366</v>
      </c>
      <c r="R235" s="6">
        <f t="shared" si="53"/>
        <v>2215.9725009080353</v>
      </c>
      <c r="S235" s="6">
        <f t="shared" si="54"/>
        <v>0</v>
      </c>
    </row>
    <row r="236" spans="5:19" x14ac:dyDescent="0.3">
      <c r="E236" s="2">
        <v>234</v>
      </c>
      <c r="F236" s="6">
        <f t="shared" si="42"/>
        <v>58.5</v>
      </c>
      <c r="G236" s="6">
        <f t="shared" si="44"/>
        <v>6.7049848500552951</v>
      </c>
      <c r="H236" s="6">
        <f t="shared" si="45"/>
        <v>533.74955177238576</v>
      </c>
      <c r="I236" s="6">
        <f t="shared" si="46"/>
        <v>6.6714502142067147</v>
      </c>
      <c r="J236" s="6">
        <f t="shared" si="47"/>
        <v>766.25044822761367</v>
      </c>
      <c r="K236" s="6">
        <f t="shared" si="48"/>
        <v>4.7892748928966391</v>
      </c>
      <c r="L236" s="6">
        <f t="shared" si="49"/>
        <v>918.47184454866238</v>
      </c>
      <c r="M236" s="6">
        <f t="shared" si="43"/>
        <v>2.2899312522700899</v>
      </c>
      <c r="N236" s="6">
        <f t="shared" si="50"/>
        <v>1.9157099571586558</v>
      </c>
      <c r="O236" s="6">
        <f t="shared" si="51"/>
        <v>793.51326500467258</v>
      </c>
      <c r="P236" s="6">
        <f>SUM($G$2:G236)</f>
        <v>1661.9851095533354</v>
      </c>
      <c r="Q236" s="6">
        <f t="shared" si="52"/>
        <v>2218.4718445486628</v>
      </c>
      <c r="R236" s="6">
        <f t="shared" si="53"/>
        <v>2218.4718445486619</v>
      </c>
      <c r="S236" s="6">
        <f t="shared" si="54"/>
        <v>0</v>
      </c>
    </row>
    <row r="237" spans="5:19" x14ac:dyDescent="0.3">
      <c r="E237" s="2">
        <v>235</v>
      </c>
      <c r="F237" s="6">
        <f t="shared" si="42"/>
        <v>58.75</v>
      </c>
      <c r="G237" s="6">
        <f t="shared" si="44"/>
        <v>6.7046914219916207</v>
      </c>
      <c r="H237" s="6">
        <f t="shared" si="45"/>
        <v>533.78237379722259</v>
      </c>
      <c r="I237" s="6">
        <f t="shared" si="46"/>
        <v>6.671869397154822</v>
      </c>
      <c r="J237" s="6">
        <f t="shared" si="47"/>
        <v>766.21762620277684</v>
      </c>
      <c r="K237" s="6">
        <f t="shared" si="48"/>
        <v>4.7890653014225855</v>
      </c>
      <c r="L237" s="6">
        <f t="shared" si="49"/>
        <v>920.96473023871329</v>
      </c>
      <c r="M237" s="6">
        <f t="shared" si="43"/>
        <v>2.2961796113716559</v>
      </c>
      <c r="N237" s="6">
        <f t="shared" si="50"/>
        <v>1.9156261205690341</v>
      </c>
      <c r="O237" s="6">
        <f t="shared" si="51"/>
        <v>797.72507073661325</v>
      </c>
      <c r="P237" s="6">
        <f>SUM($G$2:G237)</f>
        <v>1668.689800975327</v>
      </c>
      <c r="Q237" s="6">
        <f t="shared" si="52"/>
        <v>2220.9647302387134</v>
      </c>
      <c r="R237" s="6">
        <f t="shared" si="53"/>
        <v>2220.9647302387129</v>
      </c>
      <c r="S237" s="6">
        <f t="shared" si="54"/>
        <v>0</v>
      </c>
    </row>
    <row r="238" spans="5:19" x14ac:dyDescent="0.3">
      <c r="E238" s="2">
        <v>236</v>
      </c>
      <c r="F238" s="6">
        <f t="shared" si="42"/>
        <v>59</v>
      </c>
      <c r="G238" s="6">
        <f t="shared" si="44"/>
        <v>6.7044042292742976</v>
      </c>
      <c r="H238" s="6">
        <f t="shared" si="45"/>
        <v>533.81449835403157</v>
      </c>
      <c r="I238" s="6">
        <f t="shared" si="46"/>
        <v>6.6722796724652822</v>
      </c>
      <c r="J238" s="6">
        <f t="shared" si="47"/>
        <v>766.18550164596775</v>
      </c>
      <c r="K238" s="6">
        <f t="shared" si="48"/>
        <v>4.7888601637673549</v>
      </c>
      <c r="L238" s="6">
        <f t="shared" si="49"/>
        <v>923.45117857688388</v>
      </c>
      <c r="M238" s="6">
        <f t="shared" si="43"/>
        <v>2.3024118255967831</v>
      </c>
      <c r="N238" s="6">
        <f t="shared" si="50"/>
        <v>1.9155440655069422</v>
      </c>
      <c r="O238" s="6">
        <f t="shared" si="51"/>
        <v>801.94302662771702</v>
      </c>
      <c r="P238" s="6">
        <f>SUM($G$2:G238)</f>
        <v>1675.3942052046013</v>
      </c>
      <c r="Q238" s="6">
        <f t="shared" si="52"/>
        <v>2223.4511785768846</v>
      </c>
      <c r="R238" s="6">
        <f t="shared" si="53"/>
        <v>2223.4511785768832</v>
      </c>
      <c r="S238" s="6">
        <f t="shared" si="54"/>
        <v>0</v>
      </c>
    </row>
    <row r="239" spans="5:19" x14ac:dyDescent="0.3">
      <c r="E239" s="2">
        <v>237</v>
      </c>
      <c r="F239" s="6">
        <f t="shared" si="42"/>
        <v>59.25</v>
      </c>
      <c r="G239" s="6">
        <f t="shared" si="44"/>
        <v>6.7041231394022187</v>
      </c>
      <c r="H239" s="6">
        <f t="shared" si="45"/>
        <v>533.84594026400839</v>
      </c>
      <c r="I239" s="6">
        <f t="shared" si="46"/>
        <v>6.672681229425395</v>
      </c>
      <c r="J239" s="6">
        <f t="shared" si="47"/>
        <v>766.15405973599093</v>
      </c>
      <c r="K239" s="6">
        <f t="shared" si="48"/>
        <v>4.7886593852872981</v>
      </c>
      <c r="L239" s="6">
        <f t="shared" si="49"/>
        <v>925.93121001572899</v>
      </c>
      <c r="M239" s="6">
        <f t="shared" si="43"/>
        <v>2.3086279464422099</v>
      </c>
      <c r="N239" s="6">
        <f t="shared" si="50"/>
        <v>1.9154637541149193</v>
      </c>
      <c r="O239" s="6">
        <f t="shared" si="51"/>
        <v>806.16711832827423</v>
      </c>
      <c r="P239" s="6">
        <f>SUM($G$2:G239)</f>
        <v>1682.0983283440037</v>
      </c>
      <c r="Q239" s="6">
        <f t="shared" si="52"/>
        <v>2225.9312100157294</v>
      </c>
      <c r="R239" s="6">
        <f t="shared" si="53"/>
        <v>2225.9312100157285</v>
      </c>
      <c r="S239" s="6">
        <f t="shared" si="54"/>
        <v>0</v>
      </c>
    </row>
    <row r="240" spans="5:19" x14ac:dyDescent="0.3">
      <c r="E240" s="2">
        <v>238</v>
      </c>
      <c r="F240" s="6">
        <f t="shared" si="42"/>
        <v>59.5</v>
      </c>
      <c r="G240" s="6">
        <f t="shared" si="44"/>
        <v>6.7038480226899209</v>
      </c>
      <c r="H240" s="6">
        <f t="shared" si="45"/>
        <v>533.87671403339823</v>
      </c>
      <c r="I240" s="6">
        <f t="shared" si="46"/>
        <v>6.6730742533001051</v>
      </c>
      <c r="J240" s="6">
        <f t="shared" si="47"/>
        <v>766.12328596660109</v>
      </c>
      <c r="K240" s="6">
        <f t="shared" si="48"/>
        <v>4.7884628733499435</v>
      </c>
      <c r="L240" s="6">
        <f t="shared" si="49"/>
        <v>928.40484486403966</v>
      </c>
      <c r="M240" s="6">
        <f t="shared" si="43"/>
        <v>2.3148280250393225</v>
      </c>
      <c r="N240" s="6">
        <f t="shared" si="50"/>
        <v>1.9153851493399774</v>
      </c>
      <c r="O240" s="6">
        <f t="shared" si="51"/>
        <v>810.39733150265351</v>
      </c>
      <c r="P240" s="6">
        <f>SUM($G$2:G240)</f>
        <v>1688.8021763666936</v>
      </c>
      <c r="Q240" s="6">
        <f t="shared" si="52"/>
        <v>2228.4048448640406</v>
      </c>
      <c r="R240" s="6">
        <f t="shared" si="53"/>
        <v>2228.4048448640388</v>
      </c>
      <c r="S240" s="6">
        <f t="shared" si="54"/>
        <v>0</v>
      </c>
    </row>
    <row r="241" spans="5:19" x14ac:dyDescent="0.3">
      <c r="E241" s="2">
        <v>239</v>
      </c>
      <c r="F241" s="6">
        <f t="shared" si="42"/>
        <v>59.75</v>
      </c>
      <c r="G241" s="6">
        <f t="shared" si="44"/>
        <v>6.7035787522077603</v>
      </c>
      <c r="H241" s="6">
        <f t="shared" si="45"/>
        <v>533.9068338601885</v>
      </c>
      <c r="I241" s="6">
        <f t="shared" si="46"/>
        <v>6.6734589254174779</v>
      </c>
      <c r="J241" s="6">
        <f t="shared" si="47"/>
        <v>766.09316613981071</v>
      </c>
      <c r="K241" s="6">
        <f t="shared" si="48"/>
        <v>4.7882705372912566</v>
      </c>
      <c r="L241" s="6">
        <f t="shared" si="49"/>
        <v>930.87210328917081</v>
      </c>
      <c r="M241" s="6">
        <f t="shared" si="43"/>
        <v>2.3210121121600991</v>
      </c>
      <c r="N241" s="6">
        <f t="shared" si="50"/>
        <v>1.9153082149165028</v>
      </c>
      <c r="O241" s="6">
        <f t="shared" si="51"/>
        <v>814.63365182973018</v>
      </c>
      <c r="P241" s="6">
        <f>SUM($G$2:G241)</f>
        <v>1695.5057551189013</v>
      </c>
      <c r="Q241" s="6">
        <f t="shared" si="52"/>
        <v>2230.8721032891708</v>
      </c>
      <c r="R241" s="6">
        <f t="shared" si="53"/>
        <v>2230.8721032891699</v>
      </c>
      <c r="S241" s="6">
        <f t="shared" si="54"/>
        <v>0</v>
      </c>
    </row>
    <row r="242" spans="5:19" x14ac:dyDescent="0.3">
      <c r="E242" s="2">
        <v>240</v>
      </c>
      <c r="F242" s="6">
        <f t="shared" si="42"/>
        <v>60</v>
      </c>
      <c r="G242" s="6">
        <f t="shared" si="44"/>
        <v>6.7033152037233439</v>
      </c>
      <c r="H242" s="6">
        <f t="shared" si="45"/>
        <v>533.93631364065948</v>
      </c>
      <c r="I242" s="6">
        <f t="shared" si="46"/>
        <v>6.6738354232523562</v>
      </c>
      <c r="J242" s="6">
        <f t="shared" si="47"/>
        <v>766.06368635933973</v>
      </c>
      <c r="K242" s="6">
        <f t="shared" si="48"/>
        <v>4.7880822883738166</v>
      </c>
      <c r="L242" s="6">
        <f t="shared" si="49"/>
        <v>933.33300531932173</v>
      </c>
      <c r="M242" s="6">
        <f t="shared" si="43"/>
        <v>2.3271802582229273</v>
      </c>
      <c r="N242" s="6">
        <f t="shared" si="50"/>
        <v>1.9152329153495269</v>
      </c>
      <c r="O242" s="6">
        <f t="shared" si="51"/>
        <v>818.87606500330264</v>
      </c>
      <c r="P242" s="6">
        <f>SUM($G$2:G242)</f>
        <v>1702.2090703226247</v>
      </c>
      <c r="Q242" s="6">
        <f t="shared" si="52"/>
        <v>2233.3330053193222</v>
      </c>
      <c r="R242" s="6">
        <f t="shared" si="53"/>
        <v>2233.3330053193208</v>
      </c>
      <c r="S242" s="6">
        <f t="shared" si="54"/>
        <v>0</v>
      </c>
    </row>
    <row r="243" spans="5:19" x14ac:dyDescent="0.3">
      <c r="E243" s="2">
        <v>241</v>
      </c>
      <c r="F243" s="6">
        <f t="shared" si="42"/>
        <v>60.25</v>
      </c>
      <c r="G243" s="6">
        <f t="shared" si="44"/>
        <v>6.7030572556442234</v>
      </c>
      <c r="H243" s="6">
        <f t="shared" si="45"/>
        <v>533.96516697579546</v>
      </c>
      <c r="I243" s="6">
        <f t="shared" si="46"/>
        <v>6.6742039205082433</v>
      </c>
      <c r="J243" s="6">
        <f t="shared" si="47"/>
        <v>766.03483302420375</v>
      </c>
      <c r="K243" s="6">
        <f t="shared" si="48"/>
        <v>4.7878980397458735</v>
      </c>
      <c r="L243" s="6">
        <f t="shared" si="49"/>
        <v>935.78757084576932</v>
      </c>
      <c r="M243" s="6">
        <f t="shared" si="43"/>
        <v>2.3333325132983043</v>
      </c>
      <c r="N243" s="6">
        <f t="shared" si="50"/>
        <v>1.9151592158983493</v>
      </c>
      <c r="O243" s="6">
        <f t="shared" si="51"/>
        <v>823.12455673249929</v>
      </c>
      <c r="P243" s="6">
        <f>SUM($G$2:G243)</f>
        <v>1708.9121275782688</v>
      </c>
      <c r="Q243" s="6">
        <f t="shared" si="52"/>
        <v>2235.7875708457696</v>
      </c>
      <c r="R243" s="6">
        <f t="shared" si="53"/>
        <v>2235.7875708457686</v>
      </c>
      <c r="S243" s="6">
        <f t="shared" si="54"/>
        <v>0</v>
      </c>
    </row>
    <row r="244" spans="5:19" x14ac:dyDescent="0.3">
      <c r="E244" s="2">
        <v>242</v>
      </c>
      <c r="F244" s="6">
        <f t="shared" si="42"/>
        <v>60.5</v>
      </c>
      <c r="G244" s="6">
        <f t="shared" si="44"/>
        <v>6.7028047889617834</v>
      </c>
      <c r="H244" s="6">
        <f t="shared" si="45"/>
        <v>533.99340717755979</v>
      </c>
      <c r="I244" s="6">
        <f t="shared" si="46"/>
        <v>6.6745645871974428</v>
      </c>
      <c r="J244" s="6">
        <f t="shared" si="47"/>
        <v>766.00659282243942</v>
      </c>
      <c r="K244" s="6">
        <f t="shared" si="48"/>
        <v>4.7877177064012733</v>
      </c>
      <c r="L244" s="6">
        <f t="shared" si="49"/>
        <v>938.23581962505614</v>
      </c>
      <c r="M244" s="6">
        <f t="shared" si="43"/>
        <v>2.3394689271144236</v>
      </c>
      <c r="N244" s="6">
        <f t="shared" si="50"/>
        <v>1.9150870825605093</v>
      </c>
      <c r="O244" s="6">
        <f t="shared" si="51"/>
        <v>827.37911274217424</v>
      </c>
      <c r="P244" s="6">
        <f>SUM($G$2:G244)</f>
        <v>1715.6149323672307</v>
      </c>
      <c r="Q244" s="6">
        <f t="shared" si="52"/>
        <v>2238.2358196250566</v>
      </c>
      <c r="R244" s="6">
        <f t="shared" si="53"/>
        <v>2238.2358196250552</v>
      </c>
      <c r="S244" s="6">
        <f t="shared" si="54"/>
        <v>0</v>
      </c>
    </row>
    <row r="245" spans="5:19" x14ac:dyDescent="0.3">
      <c r="E245" s="2">
        <v>243</v>
      </c>
      <c r="F245" s="6">
        <f t="shared" si="42"/>
        <v>60.75</v>
      </c>
      <c r="G245" s="6">
        <f t="shared" si="44"/>
        <v>6.7025576871963457</v>
      </c>
      <c r="H245" s="6">
        <f t="shared" si="45"/>
        <v>534.02104727503661</v>
      </c>
      <c r="I245" s="6">
        <f t="shared" si="46"/>
        <v>6.674917589719497</v>
      </c>
      <c r="J245" s="6">
        <f t="shared" si="47"/>
        <v>765.9789527249626</v>
      </c>
      <c r="K245" s="6">
        <f t="shared" si="48"/>
        <v>4.7875412051402462</v>
      </c>
      <c r="L245" s="6">
        <f t="shared" si="49"/>
        <v>940.67777128113369</v>
      </c>
      <c r="M245" s="6">
        <f t="shared" si="43"/>
        <v>2.3455895490626406</v>
      </c>
      <c r="N245" s="6">
        <f t="shared" si="50"/>
        <v>1.9150164820560986</v>
      </c>
      <c r="O245" s="6">
        <f t="shared" si="51"/>
        <v>831.639718773293</v>
      </c>
      <c r="P245" s="6">
        <f>SUM($G$2:G245)</f>
        <v>1722.317490054427</v>
      </c>
      <c r="Q245" s="6">
        <f t="shared" si="52"/>
        <v>2240.6777712811345</v>
      </c>
      <c r="R245" s="6">
        <f t="shared" si="53"/>
        <v>2240.6777712811327</v>
      </c>
      <c r="S245" s="6">
        <f t="shared" si="54"/>
        <v>0</v>
      </c>
    </row>
    <row r="246" spans="5:19" x14ac:dyDescent="0.3">
      <c r="E246" s="2">
        <v>244</v>
      </c>
      <c r="F246" s="6">
        <f t="shared" si="42"/>
        <v>61</v>
      </c>
      <c r="G246" s="6">
        <f t="shared" si="44"/>
        <v>6.7023158363434234</v>
      </c>
      <c r="H246" s="6">
        <f t="shared" si="45"/>
        <v>534.04810002044212</v>
      </c>
      <c r="I246" s="6">
        <f t="shared" si="46"/>
        <v>6.6752630909379578</v>
      </c>
      <c r="J246" s="6">
        <f t="shared" si="47"/>
        <v>765.95189997955708</v>
      </c>
      <c r="K246" s="6">
        <f t="shared" si="48"/>
        <v>4.7873684545310162</v>
      </c>
      <c r="L246" s="6">
        <f t="shared" si="49"/>
        <v>943.11344530746192</v>
      </c>
      <c r="M246" s="6">
        <f t="shared" si="43"/>
        <v>2.3516944282028343</v>
      </c>
      <c r="N246" s="6">
        <f t="shared" si="50"/>
        <v>1.9149473818124065</v>
      </c>
      <c r="O246" s="6">
        <f t="shared" si="51"/>
        <v>835.90636058330824</v>
      </c>
      <c r="P246" s="6">
        <f>SUM($G$2:G246)</f>
        <v>1729.0198058907704</v>
      </c>
      <c r="Q246" s="6">
        <f t="shared" si="52"/>
        <v>2243.1134453074619</v>
      </c>
      <c r="R246" s="6">
        <f t="shared" si="53"/>
        <v>2243.113445307461</v>
      </c>
      <c r="S246" s="6">
        <f t="shared" si="54"/>
        <v>0</v>
      </c>
    </row>
    <row r="247" spans="5:19" x14ac:dyDescent="0.3">
      <c r="E247" s="2">
        <v>245</v>
      </c>
      <c r="F247" s="6">
        <f t="shared" si="42"/>
        <v>61.25</v>
      </c>
      <c r="G247" s="6">
        <f t="shared" si="44"/>
        <v>6.7020791248211253</v>
      </c>
      <c r="H247" s="6">
        <f t="shared" si="45"/>
        <v>534.07457789500768</v>
      </c>
      <c r="I247" s="6">
        <f t="shared" si="46"/>
        <v>6.6756012502555269</v>
      </c>
      <c r="J247" s="6">
        <f t="shared" si="47"/>
        <v>765.92542210499153</v>
      </c>
      <c r="K247" s="6">
        <f t="shared" si="48"/>
        <v>4.7871993748722321</v>
      </c>
      <c r="L247" s="6">
        <f t="shared" si="49"/>
        <v>945.54286106906545</v>
      </c>
      <c r="M247" s="6">
        <f t="shared" si="43"/>
        <v>2.3577836132686549</v>
      </c>
      <c r="N247" s="6">
        <f t="shared" si="50"/>
        <v>1.9148797499488928</v>
      </c>
      <c r="O247" s="6">
        <f t="shared" si="51"/>
        <v>840.17902394652583</v>
      </c>
      <c r="P247" s="6">
        <f>SUM($G$2:G247)</f>
        <v>1735.7218850155914</v>
      </c>
      <c r="Q247" s="6">
        <f t="shared" si="52"/>
        <v>2245.5428610690656</v>
      </c>
      <c r="R247" s="6">
        <f t="shared" si="53"/>
        <v>2245.5428610690647</v>
      </c>
      <c r="S247" s="6">
        <f t="shared" si="54"/>
        <v>0</v>
      </c>
    </row>
    <row r="248" spans="5:19" x14ac:dyDescent="0.3">
      <c r="E248" s="2">
        <v>246</v>
      </c>
      <c r="F248" s="6">
        <f t="shared" si="42"/>
        <v>61.5</v>
      </c>
      <c r="G248" s="6">
        <f t="shared" si="44"/>
        <v>6.7018474434186768</v>
      </c>
      <c r="H248" s="6">
        <f t="shared" si="45"/>
        <v>534.10049311473881</v>
      </c>
      <c r="I248" s="6">
        <f t="shared" si="46"/>
        <v>6.675932223687596</v>
      </c>
      <c r="J248" s="6">
        <f t="shared" si="47"/>
        <v>765.89950688526039</v>
      </c>
      <c r="K248" s="6">
        <f t="shared" si="48"/>
        <v>4.7870338881561967</v>
      </c>
      <c r="L248" s="6">
        <f t="shared" si="49"/>
        <v>947.96603780454893</v>
      </c>
      <c r="M248" s="6">
        <f t="shared" si="43"/>
        <v>2.3638571526726637</v>
      </c>
      <c r="N248" s="6">
        <f t="shared" si="50"/>
        <v>1.9148135552624788</v>
      </c>
      <c r="O248" s="6">
        <f t="shared" si="51"/>
        <v>844.45769465446097</v>
      </c>
      <c r="P248" s="6">
        <f>SUM($G$2:G248)</f>
        <v>1742.4237324590101</v>
      </c>
      <c r="Q248" s="6">
        <f t="shared" si="52"/>
        <v>2247.9660378045492</v>
      </c>
      <c r="R248" s="6">
        <f t="shared" si="53"/>
        <v>2247.9660378045483</v>
      </c>
      <c r="S248" s="6">
        <f t="shared" si="54"/>
        <v>0</v>
      </c>
    </row>
    <row r="249" spans="5:19" x14ac:dyDescent="0.3">
      <c r="E249" s="2">
        <v>247</v>
      </c>
      <c r="F249" s="6">
        <f t="shared" si="42"/>
        <v>61.75</v>
      </c>
      <c r="G249" s="6">
        <f t="shared" si="44"/>
        <v>6.7016206852460289</v>
      </c>
      <c r="H249" s="6">
        <f t="shared" si="45"/>
        <v>534.12585763605057</v>
      </c>
      <c r="I249" s="6">
        <f t="shared" si="46"/>
        <v>6.6762561639342355</v>
      </c>
      <c r="J249" s="6">
        <f t="shared" si="47"/>
        <v>765.87414236394864</v>
      </c>
      <c r="K249" s="6">
        <f t="shared" si="48"/>
        <v>4.7868719180328778</v>
      </c>
      <c r="L249" s="6">
        <f t="shared" si="49"/>
        <v>950.38299462807049</v>
      </c>
      <c r="M249" s="6">
        <f t="shared" si="43"/>
        <v>2.3699150945113723</v>
      </c>
      <c r="N249" s="6">
        <f t="shared" si="50"/>
        <v>1.9147487672131511</v>
      </c>
      <c r="O249" s="6">
        <f t="shared" si="51"/>
        <v>848.7423585161855</v>
      </c>
      <c r="P249" s="6">
        <f>SUM($G$2:G249)</f>
        <v>1749.1253531442562</v>
      </c>
      <c r="Q249" s="6">
        <f t="shared" si="52"/>
        <v>2250.3829946280707</v>
      </c>
      <c r="R249" s="6">
        <f t="shared" si="53"/>
        <v>2250.3829946280694</v>
      </c>
      <c r="S249" s="6">
        <f t="shared" si="54"/>
        <v>0</v>
      </c>
    </row>
    <row r="250" spans="5:19" x14ac:dyDescent="0.3">
      <c r="E250" s="2">
        <v>248</v>
      </c>
      <c r="F250" s="6">
        <f t="shared" si="42"/>
        <v>62</v>
      </c>
      <c r="G250" s="6">
        <f t="shared" si="44"/>
        <v>6.7013987456845516</v>
      </c>
      <c r="H250" s="6">
        <f t="shared" si="45"/>
        <v>534.15068316128452</v>
      </c>
      <c r="I250" s="6">
        <f t="shared" si="46"/>
        <v>6.6765732204506323</v>
      </c>
      <c r="J250" s="6">
        <f t="shared" si="47"/>
        <v>765.84931683871469</v>
      </c>
      <c r="K250" s="6">
        <f t="shared" si="48"/>
        <v>4.786713389774679</v>
      </c>
      <c r="L250" s="6">
        <f t="shared" si="49"/>
        <v>952.79375053127501</v>
      </c>
      <c r="M250" s="6">
        <f t="shared" si="43"/>
        <v>2.3759574865701762</v>
      </c>
      <c r="N250" s="6">
        <f t="shared" si="50"/>
        <v>1.9146853559098715</v>
      </c>
      <c r="O250" s="6">
        <f t="shared" si="51"/>
        <v>853.03300135866562</v>
      </c>
      <c r="P250" s="6">
        <f>SUM($G$2:G250)</f>
        <v>1755.8267518899409</v>
      </c>
      <c r="Q250" s="6">
        <f t="shared" si="52"/>
        <v>2252.7937505312757</v>
      </c>
      <c r="R250" s="6">
        <f t="shared" si="53"/>
        <v>2252.7937505312739</v>
      </c>
      <c r="S250" s="6">
        <f t="shared" si="54"/>
        <v>0</v>
      </c>
    </row>
    <row r="251" spans="5:19" x14ac:dyDescent="0.3">
      <c r="E251" s="2">
        <v>249</v>
      </c>
      <c r="F251" s="6">
        <f t="shared" si="42"/>
        <v>62.25</v>
      </c>
      <c r="G251" s="6">
        <f t="shared" si="44"/>
        <v>6.7011815223387545</v>
      </c>
      <c r="H251" s="6">
        <f t="shared" si="45"/>
        <v>534.17498114410716</v>
      </c>
      <c r="I251" s="6">
        <f t="shared" si="46"/>
        <v>6.6768835395160568</v>
      </c>
      <c r="J251" s="6">
        <f t="shared" si="47"/>
        <v>765.82501885589204</v>
      </c>
      <c r="K251" s="6">
        <f t="shared" si="48"/>
        <v>4.7865582302419671</v>
      </c>
      <c r="L251" s="6">
        <f t="shared" si="49"/>
        <v>955.19832438518881</v>
      </c>
      <c r="M251" s="6">
        <f t="shared" si="43"/>
        <v>2.3819843763281874</v>
      </c>
      <c r="N251" s="6">
        <f t="shared" si="50"/>
        <v>1.9146232920967867</v>
      </c>
      <c r="O251" s="6">
        <f t="shared" si="51"/>
        <v>857.32960902709056</v>
      </c>
      <c r="P251" s="6">
        <f>SUM($G$2:G251)</f>
        <v>1762.5279334122797</v>
      </c>
      <c r="Q251" s="6">
        <f t="shared" si="52"/>
        <v>2255.1983243851892</v>
      </c>
      <c r="R251" s="6">
        <f t="shared" si="53"/>
        <v>2255.1983243851878</v>
      </c>
      <c r="S251" s="6">
        <f t="shared" si="54"/>
        <v>0</v>
      </c>
    </row>
    <row r="252" spans="5:19" x14ac:dyDescent="0.3">
      <c r="E252" s="2">
        <v>250</v>
      </c>
      <c r="F252" s="6">
        <f t="shared" si="42"/>
        <v>62.5</v>
      </c>
      <c r="G252" s="6">
        <f t="shared" si="44"/>
        <v>6.7009689149890557</v>
      </c>
      <c r="H252" s="6">
        <f t="shared" si="45"/>
        <v>534.1987627947949</v>
      </c>
      <c r="I252" s="6">
        <f t="shared" si="46"/>
        <v>6.6771872643013399</v>
      </c>
      <c r="J252" s="6">
        <f t="shared" si="47"/>
        <v>765.8012372052043</v>
      </c>
      <c r="K252" s="6">
        <f t="shared" si="48"/>
        <v>4.7864063678493256</v>
      </c>
      <c r="L252" s="6">
        <f t="shared" si="49"/>
        <v>957.59673494207516</v>
      </c>
      <c r="M252" s="6">
        <f t="shared" si="43"/>
        <v>2.387995810962972</v>
      </c>
      <c r="N252" s="6">
        <f t="shared" si="50"/>
        <v>1.9145625471397301</v>
      </c>
      <c r="O252" s="6">
        <f t="shared" si="51"/>
        <v>861.63216738519327</v>
      </c>
      <c r="P252" s="6">
        <f>SUM($G$2:G252)</f>
        <v>1769.2289023272688</v>
      </c>
      <c r="Q252" s="6">
        <f t="shared" si="52"/>
        <v>2257.5967349420753</v>
      </c>
      <c r="R252" s="6">
        <f t="shared" si="53"/>
        <v>2257.5967349420744</v>
      </c>
      <c r="S252" s="6">
        <f t="shared" si="54"/>
        <v>0</v>
      </c>
    </row>
    <row r="253" spans="5:19" x14ac:dyDescent="0.3">
      <c r="E253" s="2">
        <v>251</v>
      </c>
      <c r="F253" s="6">
        <f t="shared" si="42"/>
        <v>62.75</v>
      </c>
      <c r="G253" s="6">
        <f t="shared" si="44"/>
        <v>6.7007608255455384</v>
      </c>
      <c r="H253" s="6">
        <f t="shared" si="45"/>
        <v>534.22203908540553</v>
      </c>
      <c r="I253" s="6">
        <f t="shared" si="46"/>
        <v>6.6774845349349361</v>
      </c>
      <c r="J253" s="6">
        <f t="shared" si="47"/>
        <v>765.77796091459379</v>
      </c>
      <c r="K253" s="6">
        <f t="shared" si="48"/>
        <v>4.7862577325325271</v>
      </c>
      <c r="L253" s="6">
        <f t="shared" si="49"/>
        <v>959.98900083725255</v>
      </c>
      <c r="M253" s="6">
        <f t="shared" si="43"/>
        <v>2.3939918373551881</v>
      </c>
      <c r="N253" s="6">
        <f t="shared" si="50"/>
        <v>1.9145030930130107</v>
      </c>
      <c r="O253" s="6">
        <f t="shared" si="51"/>
        <v>865.94066231556144</v>
      </c>
      <c r="P253" s="6">
        <f>SUM($G$2:G253)</f>
        <v>1775.9296631528143</v>
      </c>
      <c r="Q253" s="6">
        <f t="shared" si="52"/>
        <v>2259.9890008372527</v>
      </c>
      <c r="R253" s="6">
        <f t="shared" si="53"/>
        <v>2259.9890008372518</v>
      </c>
      <c r="S253" s="6">
        <f t="shared" si="54"/>
        <v>0</v>
      </c>
    </row>
    <row r="254" spans="5:19" x14ac:dyDescent="0.3">
      <c r="E254" s="2">
        <v>252</v>
      </c>
      <c r="F254" s="6">
        <f t="shared" si="42"/>
        <v>63</v>
      </c>
      <c r="G254" s="6">
        <f t="shared" si="44"/>
        <v>6.7005571580026961</v>
      </c>
      <c r="H254" s="6">
        <f t="shared" si="45"/>
        <v>534.2448207548407</v>
      </c>
      <c r="I254" s="6">
        <f t="shared" si="46"/>
        <v>6.6777754885675691</v>
      </c>
      <c r="J254" s="6">
        <f t="shared" si="47"/>
        <v>765.75517924515862</v>
      </c>
      <c r="K254" s="6">
        <f t="shared" si="48"/>
        <v>4.786112255716211</v>
      </c>
      <c r="L254" s="6">
        <f t="shared" si="49"/>
        <v>962.37514059087562</v>
      </c>
      <c r="M254" s="6">
        <f t="shared" si="43"/>
        <v>2.3999725020931315</v>
      </c>
      <c r="N254" s="6">
        <f t="shared" si="50"/>
        <v>1.9144449022864845</v>
      </c>
      <c r="O254" s="6">
        <f t="shared" si="51"/>
        <v>870.25507971994102</v>
      </c>
      <c r="P254" s="6">
        <f>SUM($G$2:G254)</f>
        <v>1782.6302203108171</v>
      </c>
      <c r="Q254" s="6">
        <f t="shared" si="52"/>
        <v>2262.3751405908761</v>
      </c>
      <c r="R254" s="6">
        <f t="shared" si="53"/>
        <v>2262.3751405908752</v>
      </c>
      <c r="S254" s="6">
        <f t="shared" si="54"/>
        <v>0</v>
      </c>
    </row>
    <row r="255" spans="5:19" x14ac:dyDescent="0.3">
      <c r="E255" s="2">
        <v>253</v>
      </c>
      <c r="F255" s="6">
        <f t="shared" si="42"/>
        <v>63.25</v>
      </c>
      <c r="G255" s="6">
        <f t="shared" si="44"/>
        <v>6.7003578183951387</v>
      </c>
      <c r="H255" s="6">
        <f t="shared" si="45"/>
        <v>534.26711831380032</v>
      </c>
      <c r="I255" s="6">
        <f t="shared" si="46"/>
        <v>6.678060259435509</v>
      </c>
      <c r="J255" s="6">
        <f t="shared" si="47"/>
        <v>765.73288168619899</v>
      </c>
      <c r="K255" s="6">
        <f t="shared" si="48"/>
        <v>4.7859698702822415</v>
      </c>
      <c r="L255" s="6">
        <f t="shared" si="49"/>
        <v>964.7551726096807</v>
      </c>
      <c r="M255" s="6">
        <f t="shared" si="43"/>
        <v>2.405937851477189</v>
      </c>
      <c r="N255" s="6">
        <f t="shared" si="50"/>
        <v>1.9143879481128965</v>
      </c>
      <c r="O255" s="6">
        <f t="shared" si="51"/>
        <v>874.57540551953116</v>
      </c>
      <c r="P255" s="6">
        <f>SUM($G$2:G255)</f>
        <v>1789.3305781292122</v>
      </c>
      <c r="Q255" s="6">
        <f t="shared" si="52"/>
        <v>2264.7551726096808</v>
      </c>
      <c r="R255" s="6">
        <f t="shared" si="53"/>
        <v>2264.7551726096799</v>
      </c>
      <c r="S255" s="6">
        <f t="shared" si="54"/>
        <v>0</v>
      </c>
    </row>
    <row r="256" spans="5:19" x14ac:dyDescent="0.3">
      <c r="E256" s="2">
        <v>254</v>
      </c>
      <c r="F256" s="6">
        <f t="shared" si="42"/>
        <v>63.5</v>
      </c>
      <c r="G256" s="6">
        <f t="shared" si="44"/>
        <v>6.7001627147542422</v>
      </c>
      <c r="H256" s="6">
        <f t="shared" si="45"/>
        <v>534.28894204963206</v>
      </c>
      <c r="I256" s="6">
        <f t="shared" si="46"/>
        <v>6.6783389789225041</v>
      </c>
      <c r="J256" s="6">
        <f t="shared" si="47"/>
        <v>765.71105795036726</v>
      </c>
      <c r="K256" s="6">
        <f t="shared" si="48"/>
        <v>4.7858305105387435</v>
      </c>
      <c r="L256" s="6">
        <f t="shared" si="49"/>
        <v>967.12911518869521</v>
      </c>
      <c r="M256" s="6">
        <f t="shared" si="43"/>
        <v>2.4118879315242019</v>
      </c>
      <c r="N256" s="6">
        <f t="shared" si="50"/>
        <v>1.9143322042154975</v>
      </c>
      <c r="O256" s="6">
        <f t="shared" si="51"/>
        <v>878.90162565527089</v>
      </c>
      <c r="P256" s="6">
        <f>SUM($G$2:G256)</f>
        <v>1796.0307408439664</v>
      </c>
      <c r="Q256" s="6">
        <f t="shared" si="52"/>
        <v>2267.1291151886958</v>
      </c>
      <c r="R256" s="6">
        <f t="shared" si="53"/>
        <v>2267.1291151886944</v>
      </c>
      <c r="S256" s="6">
        <f t="shared" si="54"/>
        <v>0</v>
      </c>
    </row>
    <row r="257" spans="5:19" x14ac:dyDescent="0.3">
      <c r="E257" s="2">
        <v>255</v>
      </c>
      <c r="F257" s="6">
        <f t="shared" si="42"/>
        <v>63.75</v>
      </c>
      <c r="G257" s="6">
        <f t="shared" si="44"/>
        <v>6.6999717570657138</v>
      </c>
      <c r="H257" s="6">
        <f t="shared" si="45"/>
        <v>534.31030203107741</v>
      </c>
      <c r="I257" s="6">
        <f t="shared" si="46"/>
        <v>6.6786117756204009</v>
      </c>
      <c r="J257" s="6">
        <f t="shared" si="47"/>
        <v>765.68969796892191</v>
      </c>
      <c r="K257" s="6">
        <f t="shared" si="48"/>
        <v>4.7856941121897956</v>
      </c>
      <c r="L257" s="6">
        <f t="shared" si="49"/>
        <v>969.49698651291328</v>
      </c>
      <c r="M257" s="6">
        <f t="shared" si="43"/>
        <v>2.4178227879717382</v>
      </c>
      <c r="N257" s="6">
        <f t="shared" si="50"/>
        <v>1.9142776448759182</v>
      </c>
      <c r="O257" s="6">
        <f t="shared" si="51"/>
        <v>883.2337260881186</v>
      </c>
      <c r="P257" s="6">
        <f>SUM($G$2:G257)</f>
        <v>1802.7307126010321</v>
      </c>
      <c r="Q257" s="6">
        <f t="shared" si="52"/>
        <v>2269.4969865129133</v>
      </c>
      <c r="R257" s="6">
        <f t="shared" si="53"/>
        <v>2269.4969865129124</v>
      </c>
      <c r="S257" s="6">
        <f t="shared" si="54"/>
        <v>0</v>
      </c>
    </row>
    <row r="258" spans="5:19" x14ac:dyDescent="0.3">
      <c r="E258" s="2">
        <v>256</v>
      </c>
      <c r="F258" s="6">
        <f t="shared" ref="F258:F321" si="55">E258*$B$2</f>
        <v>64</v>
      </c>
      <c r="G258" s="6">
        <f t="shared" si="44"/>
        <v>6.6997848572280674</v>
      </c>
      <c r="H258" s="6">
        <f t="shared" si="45"/>
        <v>534.33120811291701</v>
      </c>
      <c r="I258" s="6">
        <f t="shared" si="46"/>
        <v>6.6788787753884673</v>
      </c>
      <c r="J258" s="6">
        <f t="shared" si="47"/>
        <v>765.66879188708242</v>
      </c>
      <c r="K258" s="6">
        <f t="shared" si="48"/>
        <v>4.7855606123057619</v>
      </c>
      <c r="L258" s="6">
        <f t="shared" si="49"/>
        <v>971.85880465893672</v>
      </c>
      <c r="M258" s="6">
        <f t="shared" si="43"/>
        <v>2.4237424662822833</v>
      </c>
      <c r="N258" s="6">
        <f t="shared" si="50"/>
        <v>1.9142242449223048</v>
      </c>
      <c r="O258" s="6">
        <f t="shared" si="51"/>
        <v>887.57169279932316</v>
      </c>
      <c r="P258" s="6">
        <f>SUM($G$2:G258)</f>
        <v>1809.4304974582601</v>
      </c>
      <c r="Q258" s="6">
        <f t="shared" si="52"/>
        <v>2271.8588046589371</v>
      </c>
      <c r="R258" s="6">
        <f t="shared" si="53"/>
        <v>2271.8588046589362</v>
      </c>
      <c r="S258" s="6">
        <f t="shared" si="54"/>
        <v>0</v>
      </c>
    </row>
    <row r="259" spans="5:19" x14ac:dyDescent="0.3">
      <c r="E259" s="2">
        <v>257</v>
      </c>
      <c r="F259" s="6">
        <f t="shared" si="55"/>
        <v>64.25</v>
      </c>
      <c r="G259" s="6">
        <f t="shared" si="44"/>
        <v>6.6996019290119717</v>
      </c>
      <c r="H259" s="6">
        <f t="shared" si="45"/>
        <v>534.35166994051747</v>
      </c>
      <c r="I259" s="6">
        <f t="shared" si="46"/>
        <v>6.6791401014114626</v>
      </c>
      <c r="J259" s="6">
        <f t="shared" si="47"/>
        <v>765.64833005948196</v>
      </c>
      <c r="K259" s="6">
        <f t="shared" si="48"/>
        <v>4.7854299492942651</v>
      </c>
      <c r="L259" s="6">
        <f t="shared" si="49"/>
        <v>974.21458759658367</v>
      </c>
      <c r="M259" s="6">
        <f t="shared" ref="M259:M322" si="56">L258*$B$8*$B$2</f>
        <v>2.4296470116473419</v>
      </c>
      <c r="N259" s="6">
        <f t="shared" si="50"/>
        <v>1.9141719797177061</v>
      </c>
      <c r="O259" s="6">
        <f t="shared" si="51"/>
        <v>891.91551179068824</v>
      </c>
      <c r="P259" s="6">
        <f>SUM($G$2:G259)</f>
        <v>1816.1300993872721</v>
      </c>
      <c r="Q259" s="6">
        <f t="shared" si="52"/>
        <v>2274.2145875965834</v>
      </c>
      <c r="R259" s="6">
        <f t="shared" si="53"/>
        <v>2274.2145875965834</v>
      </c>
      <c r="S259" s="6">
        <f t="shared" si="54"/>
        <v>0</v>
      </c>
    </row>
    <row r="260" spans="5:19" x14ac:dyDescent="0.3">
      <c r="E260" s="2">
        <v>258</v>
      </c>
      <c r="F260" s="6">
        <f t="shared" si="55"/>
        <v>64.5</v>
      </c>
      <c r="G260" s="6">
        <f t="shared" ref="G260:G323" si="57">J259*$B$7*$B$2</f>
        <v>6.699422888020468</v>
      </c>
      <c r="H260" s="6">
        <f t="shared" ref="H260:H323" si="58">H259+(G260-I260)</f>
        <v>534.37169695428145</v>
      </c>
      <c r="I260" s="6">
        <f t="shared" ref="I260:I323" si="59">H259*$B$2/$B$10</f>
        <v>6.6793958742564685</v>
      </c>
      <c r="J260" s="6">
        <f t="shared" ref="J260:J323" si="60">J259+I260-K260-N260</f>
        <v>765.62830304571787</v>
      </c>
      <c r="K260" s="6">
        <f t="shared" ref="K260:K323" si="61">J259*$B$2/$B$11</f>
        <v>4.7853020628717626</v>
      </c>
      <c r="L260" s="6">
        <f t="shared" ref="L260:L323" si="62">L259+(K260-M260)</f>
        <v>976.56435319046398</v>
      </c>
      <c r="M260" s="6">
        <f t="shared" si="56"/>
        <v>2.4355364689914594</v>
      </c>
      <c r="N260" s="6">
        <f t="shared" ref="N260:N323" si="63">J259*$B$9*$B$2</f>
        <v>1.914120825148705</v>
      </c>
      <c r="O260" s="6">
        <f t="shared" ref="O260:O323" si="64">O259+M260+N260</f>
        <v>896.26516908482847</v>
      </c>
      <c r="P260" s="6">
        <f>SUM($G$2:G260)</f>
        <v>1822.8295222752927</v>
      </c>
      <c r="Q260" s="6">
        <f t="shared" ref="Q260:Q323" si="65">$B$3+P260-O260</f>
        <v>2276.5643531904643</v>
      </c>
      <c r="R260" s="6">
        <f t="shared" ref="R260:R323" si="66">H260+J260+L260</f>
        <v>2276.5643531904634</v>
      </c>
      <c r="S260" s="6">
        <f t="shared" ref="S260:S323" si="67">Q260-R260</f>
        <v>0</v>
      </c>
    </row>
    <row r="261" spans="5:19" x14ac:dyDescent="0.3">
      <c r="E261" s="2">
        <v>259</v>
      </c>
      <c r="F261" s="6">
        <f t="shared" si="55"/>
        <v>64.75</v>
      </c>
      <c r="G261" s="6">
        <f t="shared" si="57"/>
        <v>6.6992476516500323</v>
      </c>
      <c r="H261" s="6">
        <f t="shared" si="58"/>
        <v>534.391298394003</v>
      </c>
      <c r="I261" s="6">
        <f t="shared" si="59"/>
        <v>6.6796462119285183</v>
      </c>
      <c r="J261" s="6">
        <f t="shared" si="60"/>
        <v>765.60870160599643</v>
      </c>
      <c r="K261" s="6">
        <f t="shared" si="61"/>
        <v>4.7851768940357369</v>
      </c>
      <c r="L261" s="6">
        <f t="shared" si="62"/>
        <v>978.9081192015235</v>
      </c>
      <c r="M261" s="6">
        <f t="shared" si="56"/>
        <v>2.44141088297616</v>
      </c>
      <c r="N261" s="6">
        <f t="shared" si="63"/>
        <v>1.9140707576142948</v>
      </c>
      <c r="O261" s="6">
        <f t="shared" si="64"/>
        <v>900.62065072541884</v>
      </c>
      <c r="P261" s="6">
        <f>SUM($G$2:G261)</f>
        <v>1829.5287699269427</v>
      </c>
      <c r="Q261" s="6">
        <f t="shared" si="65"/>
        <v>2278.9081192015242</v>
      </c>
      <c r="R261" s="6">
        <f t="shared" si="66"/>
        <v>2278.9081192015228</v>
      </c>
      <c r="S261" s="6">
        <f t="shared" si="67"/>
        <v>0</v>
      </c>
    </row>
    <row r="262" spans="5:19" x14ac:dyDescent="0.3">
      <c r="E262" s="2">
        <v>260</v>
      </c>
      <c r="F262" s="6">
        <f t="shared" si="55"/>
        <v>65</v>
      </c>
      <c r="G262" s="6">
        <f t="shared" si="57"/>
        <v>6.6990761390524698</v>
      </c>
      <c r="H262" s="6">
        <f t="shared" si="58"/>
        <v>534.41048330313038</v>
      </c>
      <c r="I262" s="6">
        <f t="shared" si="59"/>
        <v>6.6798912299250377</v>
      </c>
      <c r="J262" s="6">
        <f t="shared" si="60"/>
        <v>765.58951669686894</v>
      </c>
      <c r="K262" s="6">
        <f t="shared" si="61"/>
        <v>4.785054385037478</v>
      </c>
      <c r="L262" s="6">
        <f t="shared" si="62"/>
        <v>981.2459032885572</v>
      </c>
      <c r="M262" s="6">
        <f t="shared" si="56"/>
        <v>2.4472702980038088</v>
      </c>
      <c r="N262" s="6">
        <f t="shared" si="63"/>
        <v>1.9140217540149911</v>
      </c>
      <c r="O262" s="6">
        <f t="shared" si="64"/>
        <v>904.98194277743767</v>
      </c>
      <c r="P262" s="6">
        <f>SUM($G$2:G262)</f>
        <v>1836.2278460659952</v>
      </c>
      <c r="Q262" s="6">
        <f t="shared" si="65"/>
        <v>2281.2459032885577</v>
      </c>
      <c r="R262" s="6">
        <f t="shared" si="66"/>
        <v>2281.2459032885563</v>
      </c>
      <c r="S262" s="6">
        <f t="shared" si="67"/>
        <v>0</v>
      </c>
    </row>
    <row r="263" spans="5:19" x14ac:dyDescent="0.3">
      <c r="E263" s="2">
        <v>261</v>
      </c>
      <c r="F263" s="6">
        <f t="shared" si="55"/>
        <v>65.25</v>
      </c>
      <c r="G263" s="6">
        <f t="shared" si="57"/>
        <v>6.6989082710976042</v>
      </c>
      <c r="H263" s="6">
        <f t="shared" si="58"/>
        <v>534.42926053293888</v>
      </c>
      <c r="I263" s="6">
        <f t="shared" si="59"/>
        <v>6.6801310412891297</v>
      </c>
      <c r="J263" s="6">
        <f t="shared" si="60"/>
        <v>765.57073946706043</v>
      </c>
      <c r="K263" s="6">
        <f t="shared" si="61"/>
        <v>4.7849344793554307</v>
      </c>
      <c r="L263" s="6">
        <f t="shared" si="62"/>
        <v>983.57772300969123</v>
      </c>
      <c r="M263" s="6">
        <f t="shared" si="56"/>
        <v>2.453114758221393</v>
      </c>
      <c r="N263" s="6">
        <f t="shared" si="63"/>
        <v>1.9139737917421724</v>
      </c>
      <c r="O263" s="6">
        <f t="shared" si="64"/>
        <v>909.34903132740124</v>
      </c>
      <c r="P263" s="6">
        <f>SUM($G$2:G263)</f>
        <v>1842.9267543370929</v>
      </c>
      <c r="Q263" s="6">
        <f t="shared" si="65"/>
        <v>2283.5777230096919</v>
      </c>
      <c r="R263" s="6">
        <f t="shared" si="66"/>
        <v>2283.5777230096905</v>
      </c>
      <c r="S263" s="6">
        <f t="shared" si="67"/>
        <v>0</v>
      </c>
    </row>
    <row r="264" spans="5:19" x14ac:dyDescent="0.3">
      <c r="E264" s="2">
        <v>262</v>
      </c>
      <c r="F264" s="6">
        <f t="shared" si="55"/>
        <v>65.5</v>
      </c>
      <c r="G264" s="6">
        <f t="shared" si="57"/>
        <v>6.6987439703367793</v>
      </c>
      <c r="H264" s="6">
        <f t="shared" si="58"/>
        <v>534.44763874661396</v>
      </c>
      <c r="I264" s="6">
        <f t="shared" si="59"/>
        <v>6.680365756661736</v>
      </c>
      <c r="J264" s="6">
        <f t="shared" si="60"/>
        <v>765.55236125338547</v>
      </c>
      <c r="K264" s="6">
        <f t="shared" si="61"/>
        <v>4.7848171216691275</v>
      </c>
      <c r="L264" s="6">
        <f t="shared" si="62"/>
        <v>985.9035958238361</v>
      </c>
      <c r="M264" s="6">
        <f t="shared" si="56"/>
        <v>2.4589443075242281</v>
      </c>
      <c r="N264" s="6">
        <f t="shared" si="63"/>
        <v>1.9139268486676511</v>
      </c>
      <c r="O264" s="6">
        <f t="shared" si="64"/>
        <v>913.72190248359311</v>
      </c>
      <c r="P264" s="6">
        <f>SUM($G$2:G264)</f>
        <v>1849.6254983074298</v>
      </c>
      <c r="Q264" s="6">
        <f t="shared" si="65"/>
        <v>2285.9035958238364</v>
      </c>
      <c r="R264" s="6">
        <f t="shared" si="66"/>
        <v>2285.9035958238355</v>
      </c>
      <c r="S264" s="6">
        <f t="shared" si="67"/>
        <v>0</v>
      </c>
    </row>
    <row r="265" spans="5:19" x14ac:dyDescent="0.3">
      <c r="E265" s="2">
        <v>263</v>
      </c>
      <c r="F265" s="6">
        <f t="shared" si="55"/>
        <v>65.75</v>
      </c>
      <c r="G265" s="6">
        <f t="shared" si="57"/>
        <v>6.6985831609671234</v>
      </c>
      <c r="H265" s="6">
        <f t="shared" si="58"/>
        <v>534.46562642324841</v>
      </c>
      <c r="I265" s="6">
        <f t="shared" si="59"/>
        <v>6.6805954843326747</v>
      </c>
      <c r="J265" s="6">
        <f t="shared" si="60"/>
        <v>765.53437357675102</v>
      </c>
      <c r="K265" s="6">
        <f t="shared" si="61"/>
        <v>4.7847022578336595</v>
      </c>
      <c r="L265" s="6">
        <f t="shared" si="62"/>
        <v>988.22353909211017</v>
      </c>
      <c r="M265" s="6">
        <f t="shared" si="56"/>
        <v>2.4647589895595905</v>
      </c>
      <c r="N265" s="6">
        <f t="shared" si="63"/>
        <v>1.9138809031334638</v>
      </c>
      <c r="O265" s="6">
        <f t="shared" si="64"/>
        <v>918.10054237628617</v>
      </c>
      <c r="P265" s="6">
        <f>SUM($G$2:G265)</f>
        <v>1856.3240814683968</v>
      </c>
      <c r="Q265" s="6">
        <f t="shared" si="65"/>
        <v>2288.2235390921105</v>
      </c>
      <c r="R265" s="6">
        <f t="shared" si="66"/>
        <v>2288.2235390921096</v>
      </c>
      <c r="S265" s="6">
        <f t="shared" si="67"/>
        <v>0</v>
      </c>
    </row>
    <row r="266" spans="5:19" x14ac:dyDescent="0.3">
      <c r="E266" s="2">
        <v>264</v>
      </c>
      <c r="F266" s="6">
        <f t="shared" si="55"/>
        <v>66</v>
      </c>
      <c r="G266" s="6">
        <f t="shared" si="57"/>
        <v>6.6984257687965725</v>
      </c>
      <c r="H266" s="6">
        <f t="shared" si="58"/>
        <v>534.48323186175435</v>
      </c>
      <c r="I266" s="6">
        <f t="shared" si="59"/>
        <v>6.6808203302906053</v>
      </c>
      <c r="J266" s="6">
        <f t="shared" si="60"/>
        <v>765.51676813824508</v>
      </c>
      <c r="K266" s="6">
        <f t="shared" si="61"/>
        <v>4.7845898348546942</v>
      </c>
      <c r="L266" s="6">
        <f t="shared" si="62"/>
        <v>990.53757007923457</v>
      </c>
      <c r="M266" s="6">
        <f t="shared" si="56"/>
        <v>2.4705588477302753</v>
      </c>
      <c r="N266" s="6">
        <f t="shared" si="63"/>
        <v>1.9138359339418776</v>
      </c>
      <c r="O266" s="6">
        <f t="shared" si="64"/>
        <v>922.48493715795837</v>
      </c>
      <c r="P266" s="6">
        <f>SUM($G$2:G266)</f>
        <v>1863.0225072371934</v>
      </c>
      <c r="Q266" s="6">
        <f t="shared" si="65"/>
        <v>2290.5375700792347</v>
      </c>
      <c r="R266" s="6">
        <f t="shared" si="66"/>
        <v>2290.5375700792342</v>
      </c>
      <c r="S266" s="6">
        <f t="shared" si="67"/>
        <v>0</v>
      </c>
    </row>
    <row r="267" spans="5:19" x14ac:dyDescent="0.3">
      <c r="E267" s="2">
        <v>265</v>
      </c>
      <c r="F267" s="6">
        <f t="shared" si="55"/>
        <v>66.25</v>
      </c>
      <c r="G267" s="6">
        <f t="shared" si="57"/>
        <v>6.698271721209645</v>
      </c>
      <c r="H267" s="6">
        <f t="shared" si="58"/>
        <v>534.50046318469208</v>
      </c>
      <c r="I267" s="6">
        <f t="shared" si="59"/>
        <v>6.6810403982719295</v>
      </c>
      <c r="J267" s="6">
        <f t="shared" si="60"/>
        <v>765.49953681530735</v>
      </c>
      <c r="K267" s="6">
        <f t="shared" si="61"/>
        <v>4.7844798008640321</v>
      </c>
      <c r="L267" s="6">
        <f t="shared" si="62"/>
        <v>992.8457059549005</v>
      </c>
      <c r="M267" s="6">
        <f t="shared" si="56"/>
        <v>2.4763439251980865</v>
      </c>
      <c r="N267" s="6">
        <f t="shared" si="63"/>
        <v>1.9137919203456129</v>
      </c>
      <c r="O267" s="6">
        <f t="shared" si="64"/>
        <v>926.87507300350205</v>
      </c>
      <c r="P267" s="6">
        <f>SUM($G$2:G267)</f>
        <v>1869.7207789584031</v>
      </c>
      <c r="Q267" s="6">
        <f t="shared" si="65"/>
        <v>2292.845705954901</v>
      </c>
      <c r="R267" s="6">
        <f t="shared" si="66"/>
        <v>2292.8457059549</v>
      </c>
      <c r="S267" s="6">
        <f t="shared" si="67"/>
        <v>0</v>
      </c>
    </row>
    <row r="268" spans="5:19" x14ac:dyDescent="0.3">
      <c r="E268" s="2">
        <v>266</v>
      </c>
      <c r="F268" s="6">
        <f t="shared" si="55"/>
        <v>66.5</v>
      </c>
      <c r="G268" s="6">
        <f t="shared" si="57"/>
        <v>6.6981209471339396</v>
      </c>
      <c r="H268" s="6">
        <f t="shared" si="58"/>
        <v>534.51732834201732</v>
      </c>
      <c r="I268" s="6">
        <f t="shared" si="59"/>
        <v>6.6812557898086506</v>
      </c>
      <c r="J268" s="6">
        <f t="shared" si="60"/>
        <v>765.48267165798211</v>
      </c>
      <c r="K268" s="6">
        <f t="shared" si="61"/>
        <v>4.7843721050956711</v>
      </c>
      <c r="L268" s="6">
        <f t="shared" si="62"/>
        <v>995.14796379510892</v>
      </c>
      <c r="M268" s="6">
        <f t="shared" si="56"/>
        <v>2.4821142648872514</v>
      </c>
      <c r="N268" s="6">
        <f t="shared" si="63"/>
        <v>1.9137488420382684</v>
      </c>
      <c r="O268" s="6">
        <f t="shared" si="64"/>
        <v>931.27093611042756</v>
      </c>
      <c r="P268" s="6">
        <f>SUM($G$2:G268)</f>
        <v>1876.418899905537</v>
      </c>
      <c r="Q268" s="6">
        <f t="shared" si="65"/>
        <v>2295.1479637951093</v>
      </c>
      <c r="R268" s="6">
        <f t="shared" si="66"/>
        <v>2295.1479637951084</v>
      </c>
      <c r="S268" s="6">
        <f t="shared" si="67"/>
        <v>0</v>
      </c>
    </row>
    <row r="269" spans="5:19" x14ac:dyDescent="0.3">
      <c r="E269" s="2">
        <v>267</v>
      </c>
      <c r="F269" s="6">
        <f t="shared" si="55"/>
        <v>66.75</v>
      </c>
      <c r="G269" s="6">
        <f t="shared" si="57"/>
        <v>6.6979733770073437</v>
      </c>
      <c r="H269" s="6">
        <f t="shared" si="58"/>
        <v>534.53383511474942</v>
      </c>
      <c r="I269" s="6">
        <f t="shared" si="59"/>
        <v>6.6814666042752169</v>
      </c>
      <c r="J269" s="6">
        <f t="shared" si="60"/>
        <v>765.46616488525001</v>
      </c>
      <c r="K269" s="6">
        <f t="shared" si="61"/>
        <v>4.784266697862388</v>
      </c>
      <c r="L269" s="6">
        <f t="shared" si="62"/>
        <v>997.44436058348356</v>
      </c>
      <c r="M269" s="6">
        <f t="shared" si="56"/>
        <v>2.4878699094877725</v>
      </c>
      <c r="N269" s="6">
        <f t="shared" si="63"/>
        <v>1.9137066791449553</v>
      </c>
      <c r="O269" s="6">
        <f t="shared" si="64"/>
        <v>935.67251269906035</v>
      </c>
      <c r="P269" s="6">
        <f>SUM($G$2:G269)</f>
        <v>1883.1168732825445</v>
      </c>
      <c r="Q269" s="6">
        <f t="shared" si="65"/>
        <v>2297.444360583484</v>
      </c>
      <c r="R269" s="6">
        <f t="shared" si="66"/>
        <v>2297.4443605834831</v>
      </c>
      <c r="S269" s="6">
        <f t="shared" si="67"/>
        <v>0</v>
      </c>
    </row>
    <row r="270" spans="5:19" x14ac:dyDescent="0.3">
      <c r="E270" s="2">
        <v>268</v>
      </c>
      <c r="F270" s="6">
        <f t="shared" si="55"/>
        <v>67</v>
      </c>
      <c r="G270" s="6">
        <f t="shared" si="57"/>
        <v>6.6978289427459385</v>
      </c>
      <c r="H270" s="6">
        <f t="shared" si="58"/>
        <v>534.54999111856102</v>
      </c>
      <c r="I270" s="6">
        <f t="shared" si="59"/>
        <v>6.6816729389343674</v>
      </c>
      <c r="J270" s="6">
        <f t="shared" si="60"/>
        <v>765.45000888143841</v>
      </c>
      <c r="K270" s="6">
        <f t="shared" si="61"/>
        <v>4.7841635305328127</v>
      </c>
      <c r="L270" s="6">
        <f t="shared" si="62"/>
        <v>999.73491321255767</v>
      </c>
      <c r="M270" s="6">
        <f t="shared" si="56"/>
        <v>2.4936109014587089</v>
      </c>
      <c r="N270" s="6">
        <f t="shared" si="63"/>
        <v>1.9136654122131251</v>
      </c>
      <c r="O270" s="6">
        <f t="shared" si="64"/>
        <v>940.07978901273225</v>
      </c>
      <c r="P270" s="6">
        <f>SUM($G$2:G270)</f>
        <v>1889.8147022252904</v>
      </c>
      <c r="Q270" s="6">
        <f t="shared" si="65"/>
        <v>2299.7349132125582</v>
      </c>
      <c r="R270" s="6">
        <f t="shared" si="66"/>
        <v>2299.7349132125573</v>
      </c>
      <c r="S270" s="6">
        <f t="shared" si="67"/>
        <v>0</v>
      </c>
    </row>
    <row r="271" spans="5:19" x14ac:dyDescent="0.3">
      <c r="E271" s="2">
        <v>269</v>
      </c>
      <c r="F271" s="6">
        <f t="shared" si="55"/>
        <v>67.25</v>
      </c>
      <c r="G271" s="6">
        <f t="shared" si="57"/>
        <v>6.6976875777125864</v>
      </c>
      <c r="H271" s="6">
        <f t="shared" si="58"/>
        <v>534.56580380729156</v>
      </c>
      <c r="I271" s="6">
        <f t="shared" si="59"/>
        <v>6.681874888982013</v>
      </c>
      <c r="J271" s="6">
        <f t="shared" si="60"/>
        <v>765.43419619270787</v>
      </c>
      <c r="K271" s="6">
        <f t="shared" si="61"/>
        <v>4.7840625555089904</v>
      </c>
      <c r="L271" s="6">
        <f t="shared" si="62"/>
        <v>1002.0196384850352</v>
      </c>
      <c r="M271" s="6">
        <f t="shared" si="56"/>
        <v>2.499337283031394</v>
      </c>
      <c r="N271" s="6">
        <f t="shared" si="63"/>
        <v>1.913625022203596</v>
      </c>
      <c r="O271" s="6">
        <f t="shared" si="64"/>
        <v>944.4927513179673</v>
      </c>
      <c r="P271" s="6">
        <f>SUM($G$2:G271)</f>
        <v>1896.5123898030029</v>
      </c>
      <c r="Q271" s="6">
        <f t="shared" si="65"/>
        <v>2302.0196384850356</v>
      </c>
      <c r="R271" s="6">
        <f t="shared" si="66"/>
        <v>2302.0196384850346</v>
      </c>
      <c r="S271" s="6">
        <f t="shared" si="67"/>
        <v>0</v>
      </c>
    </row>
    <row r="272" spans="5:19" x14ac:dyDescent="0.3">
      <c r="E272" s="2">
        <v>270</v>
      </c>
      <c r="F272" s="6">
        <f t="shared" si="55"/>
        <v>67.5</v>
      </c>
      <c r="G272" s="6">
        <f t="shared" si="57"/>
        <v>6.6975492166861947</v>
      </c>
      <c r="H272" s="6">
        <f t="shared" si="58"/>
        <v>534.58128047638661</v>
      </c>
      <c r="I272" s="6">
        <f t="shared" si="59"/>
        <v>6.6820725475911447</v>
      </c>
      <c r="J272" s="6">
        <f t="shared" si="60"/>
        <v>765.41871952361282</v>
      </c>
      <c r="K272" s="6">
        <f t="shared" si="61"/>
        <v>4.7839637262044246</v>
      </c>
      <c r="L272" s="6">
        <f t="shared" si="62"/>
        <v>1004.2985531150271</v>
      </c>
      <c r="M272" s="6">
        <f t="shared" si="56"/>
        <v>2.5050490962125882</v>
      </c>
      <c r="N272" s="6">
        <f t="shared" si="63"/>
        <v>1.9135854904817697</v>
      </c>
      <c r="O272" s="6">
        <f t="shared" si="64"/>
        <v>948.91138590466164</v>
      </c>
      <c r="P272" s="6">
        <f>SUM($G$2:G272)</f>
        <v>1903.209939019689</v>
      </c>
      <c r="Q272" s="6">
        <f t="shared" si="65"/>
        <v>2304.2985531150275</v>
      </c>
      <c r="R272" s="6">
        <f t="shared" si="66"/>
        <v>2304.2985531150266</v>
      </c>
      <c r="S272" s="6">
        <f t="shared" si="67"/>
        <v>0</v>
      </c>
    </row>
    <row r="273" spans="5:19" x14ac:dyDescent="0.3">
      <c r="E273" s="2">
        <v>271</v>
      </c>
      <c r="F273" s="6">
        <f t="shared" si="55"/>
        <v>67.75</v>
      </c>
      <c r="G273" s="6">
        <f t="shared" si="57"/>
        <v>6.6974137958316131</v>
      </c>
      <c r="H273" s="6">
        <f t="shared" si="58"/>
        <v>534.59642826626339</v>
      </c>
      <c r="I273" s="6">
        <f t="shared" si="59"/>
        <v>6.6822660059548324</v>
      </c>
      <c r="J273" s="6">
        <f t="shared" si="60"/>
        <v>765.40357173373604</v>
      </c>
      <c r="K273" s="6">
        <f t="shared" si="61"/>
        <v>4.7838669970225798</v>
      </c>
      <c r="L273" s="6">
        <f t="shared" si="62"/>
        <v>1006.5716737292621</v>
      </c>
      <c r="M273" s="6">
        <f t="shared" si="56"/>
        <v>2.5107463827875676</v>
      </c>
      <c r="N273" s="6">
        <f t="shared" si="63"/>
        <v>1.913546798809032</v>
      </c>
      <c r="O273" s="6">
        <f t="shared" si="64"/>
        <v>953.33567908625832</v>
      </c>
      <c r="P273" s="6">
        <f>SUM($G$2:G273)</f>
        <v>1909.9073528155207</v>
      </c>
      <c r="Q273" s="6">
        <f t="shared" si="65"/>
        <v>2306.5716737292623</v>
      </c>
      <c r="R273" s="6">
        <f t="shared" si="66"/>
        <v>2306.5716737292614</v>
      </c>
      <c r="S273" s="6">
        <f t="shared" si="67"/>
        <v>0</v>
      </c>
    </row>
    <row r="274" spans="5:19" x14ac:dyDescent="0.3">
      <c r="E274" s="2">
        <v>272</v>
      </c>
      <c r="F274" s="6">
        <f t="shared" si="55"/>
        <v>68</v>
      </c>
      <c r="G274" s="6">
        <f t="shared" si="57"/>
        <v>6.6972812526701908</v>
      </c>
      <c r="H274" s="6">
        <f t="shared" si="58"/>
        <v>534.61125416560526</v>
      </c>
      <c r="I274" s="6">
        <f t="shared" si="59"/>
        <v>6.682455353328292</v>
      </c>
      <c r="J274" s="6">
        <f t="shared" si="60"/>
        <v>765.38874583439417</v>
      </c>
      <c r="K274" s="6">
        <f t="shared" si="61"/>
        <v>4.7837723233358505</v>
      </c>
      <c r="L274" s="6">
        <f t="shared" si="62"/>
        <v>1008.8390168682748</v>
      </c>
      <c r="M274" s="6">
        <f t="shared" si="56"/>
        <v>2.5164291843231554</v>
      </c>
      <c r="N274" s="6">
        <f t="shared" si="63"/>
        <v>1.9135089293343401</v>
      </c>
      <c r="O274" s="6">
        <f t="shared" si="64"/>
        <v>957.76561719991571</v>
      </c>
      <c r="P274" s="6">
        <f>SUM($G$2:G274)</f>
        <v>1916.6046340681908</v>
      </c>
      <c r="Q274" s="6">
        <f t="shared" si="65"/>
        <v>2308.8390168682749</v>
      </c>
      <c r="R274" s="6">
        <f t="shared" si="66"/>
        <v>2308.8390168682745</v>
      </c>
      <c r="S274" s="6">
        <f t="shared" si="67"/>
        <v>0</v>
      </c>
    </row>
    <row r="275" spans="5:19" x14ac:dyDescent="0.3">
      <c r="E275" s="2">
        <v>273</v>
      </c>
      <c r="F275" s="6">
        <f t="shared" si="55"/>
        <v>68.25</v>
      </c>
      <c r="G275" s="6">
        <f t="shared" si="57"/>
        <v>6.6971515260509493</v>
      </c>
      <c r="H275" s="6">
        <f t="shared" si="58"/>
        <v>534.62576501458614</v>
      </c>
      <c r="I275" s="6">
        <f t="shared" si="59"/>
        <v>6.6826406770700659</v>
      </c>
      <c r="J275" s="6">
        <f t="shared" si="60"/>
        <v>765.3742349854133</v>
      </c>
      <c r="K275" s="6">
        <f t="shared" si="61"/>
        <v>4.7836796614649639</v>
      </c>
      <c r="L275" s="6">
        <f t="shared" si="62"/>
        <v>1011.1005989875691</v>
      </c>
      <c r="M275" s="6">
        <f t="shared" si="56"/>
        <v>2.522097542170687</v>
      </c>
      <c r="N275" s="6">
        <f t="shared" si="63"/>
        <v>1.9134718645859854</v>
      </c>
      <c r="O275" s="6">
        <f t="shared" si="64"/>
        <v>962.20118660667242</v>
      </c>
      <c r="P275" s="6">
        <f>SUM($G$2:G275)</f>
        <v>1923.3017855942417</v>
      </c>
      <c r="Q275" s="6">
        <f t="shared" si="65"/>
        <v>2311.1005989875694</v>
      </c>
      <c r="R275" s="6">
        <f t="shared" si="66"/>
        <v>2311.1005989875684</v>
      </c>
      <c r="S275" s="6">
        <f t="shared" si="67"/>
        <v>0</v>
      </c>
    </row>
    <row r="276" spans="5:19" x14ac:dyDescent="0.3">
      <c r="E276" s="2">
        <v>274</v>
      </c>
      <c r="F276" s="6">
        <f t="shared" si="55"/>
        <v>68.5</v>
      </c>
      <c r="G276" s="6">
        <f t="shared" si="57"/>
        <v>6.6970245561223667</v>
      </c>
      <c r="H276" s="6">
        <f t="shared" si="58"/>
        <v>534.63996750802619</v>
      </c>
      <c r="I276" s="6">
        <f t="shared" si="59"/>
        <v>6.6828220626823267</v>
      </c>
      <c r="J276" s="6">
        <f t="shared" si="60"/>
        <v>765.36003249197336</v>
      </c>
      <c r="K276" s="6">
        <f t="shared" si="61"/>
        <v>4.7835889686588331</v>
      </c>
      <c r="L276" s="6">
        <f t="shared" si="62"/>
        <v>1013.356436458759</v>
      </c>
      <c r="M276" s="6">
        <f t="shared" si="56"/>
        <v>2.5277514974689228</v>
      </c>
      <c r="N276" s="6">
        <f t="shared" si="63"/>
        <v>1.9134355874635334</v>
      </c>
      <c r="O276" s="6">
        <f t="shared" si="64"/>
        <v>966.6423736916048</v>
      </c>
      <c r="P276" s="6">
        <f>SUM($G$2:G276)</f>
        <v>1929.9988101503641</v>
      </c>
      <c r="Q276" s="6">
        <f t="shared" si="65"/>
        <v>2313.3564364587592</v>
      </c>
      <c r="R276" s="6">
        <f t="shared" si="66"/>
        <v>2313.3564364587587</v>
      </c>
      <c r="S276" s="6">
        <f t="shared" si="67"/>
        <v>0</v>
      </c>
    </row>
    <row r="277" spans="5:19" x14ac:dyDescent="0.3">
      <c r="E277" s="2">
        <v>275</v>
      </c>
      <c r="F277" s="6">
        <f t="shared" si="55"/>
        <v>68.75</v>
      </c>
      <c r="G277" s="6">
        <f t="shared" si="57"/>
        <v>6.6969002843047676</v>
      </c>
      <c r="H277" s="6">
        <f t="shared" si="58"/>
        <v>534.65386819848061</v>
      </c>
      <c r="I277" s="6">
        <f t="shared" si="59"/>
        <v>6.6829995938503277</v>
      </c>
      <c r="J277" s="6">
        <f t="shared" si="60"/>
        <v>765.34613180151894</v>
      </c>
      <c r="K277" s="6">
        <f t="shared" si="61"/>
        <v>4.7835002030748335</v>
      </c>
      <c r="L277" s="6">
        <f t="shared" si="62"/>
        <v>1015.606545570687</v>
      </c>
      <c r="M277" s="6">
        <f t="shared" si="56"/>
        <v>2.5333910911468975</v>
      </c>
      <c r="N277" s="6">
        <f t="shared" si="63"/>
        <v>1.9134000812299334</v>
      </c>
      <c r="O277" s="6">
        <f t="shared" si="64"/>
        <v>971.08916486398164</v>
      </c>
      <c r="P277" s="6">
        <f>SUM($G$2:G277)</f>
        <v>1936.6957104346689</v>
      </c>
      <c r="Q277" s="6">
        <f t="shared" si="65"/>
        <v>2315.6065455706871</v>
      </c>
      <c r="R277" s="6">
        <f t="shared" si="66"/>
        <v>2315.6065455706866</v>
      </c>
      <c r="S277" s="6">
        <f t="shared" si="67"/>
        <v>0</v>
      </c>
    </row>
    <row r="278" spans="5:19" x14ac:dyDescent="0.3">
      <c r="E278" s="2">
        <v>276</v>
      </c>
      <c r="F278" s="6">
        <f t="shared" si="55"/>
        <v>69</v>
      </c>
      <c r="G278" s="6">
        <f t="shared" si="57"/>
        <v>6.6967786532632916</v>
      </c>
      <c r="H278" s="6">
        <f t="shared" si="58"/>
        <v>534.66747349926288</v>
      </c>
      <c r="I278" s="6">
        <f t="shared" si="59"/>
        <v>6.683173352481008</v>
      </c>
      <c r="J278" s="6">
        <f t="shared" si="60"/>
        <v>765.33252650073666</v>
      </c>
      <c r="K278" s="6">
        <f t="shared" si="61"/>
        <v>4.7834133237594934</v>
      </c>
      <c r="L278" s="6">
        <f t="shared" si="62"/>
        <v>1017.8509425305198</v>
      </c>
      <c r="M278" s="6">
        <f t="shared" si="56"/>
        <v>2.5390163639267174</v>
      </c>
      <c r="N278" s="6">
        <f t="shared" si="63"/>
        <v>1.9133653295037973</v>
      </c>
      <c r="O278" s="6">
        <f t="shared" si="64"/>
        <v>975.54154655741218</v>
      </c>
      <c r="P278" s="6">
        <f>SUM($G$2:G278)</f>
        <v>1943.3924890879321</v>
      </c>
      <c r="Q278" s="6">
        <f t="shared" si="65"/>
        <v>2317.8509425305201</v>
      </c>
      <c r="R278" s="6">
        <f t="shared" si="66"/>
        <v>2317.8509425305192</v>
      </c>
      <c r="S278" s="6">
        <f t="shared" si="67"/>
        <v>0</v>
      </c>
    </row>
    <row r="279" spans="5:19" x14ac:dyDescent="0.3">
      <c r="E279" s="2">
        <v>277</v>
      </c>
      <c r="F279" s="6">
        <f t="shared" si="55"/>
        <v>69.25</v>
      </c>
      <c r="G279" s="6">
        <f t="shared" si="57"/>
        <v>6.6966596068814468</v>
      </c>
      <c r="H279" s="6">
        <f t="shared" si="58"/>
        <v>534.68078968740349</v>
      </c>
      <c r="I279" s="6">
        <f t="shared" si="59"/>
        <v>6.6833434187407859</v>
      </c>
      <c r="J279" s="6">
        <f t="shared" si="60"/>
        <v>765.31921031259606</v>
      </c>
      <c r="K279" s="6">
        <f t="shared" si="61"/>
        <v>4.783328290629604</v>
      </c>
      <c r="L279" s="6">
        <f t="shared" si="62"/>
        <v>1020.0896434648231</v>
      </c>
      <c r="M279" s="6">
        <f t="shared" si="56"/>
        <v>2.5446273563262993</v>
      </c>
      <c r="N279" s="6">
        <f t="shared" si="63"/>
        <v>1.9133313162518417</v>
      </c>
      <c r="O279" s="6">
        <f t="shared" si="64"/>
        <v>979.99950522999029</v>
      </c>
      <c r="P279" s="6">
        <f>SUM($G$2:G279)</f>
        <v>1950.0891486948135</v>
      </c>
      <c r="Q279" s="6">
        <f t="shared" si="65"/>
        <v>2320.089643464823</v>
      </c>
      <c r="R279" s="6">
        <f t="shared" si="66"/>
        <v>2320.0896434648225</v>
      </c>
      <c r="S279" s="6">
        <f t="shared" si="67"/>
        <v>0</v>
      </c>
    </row>
    <row r="280" spans="5:19" x14ac:dyDescent="0.3">
      <c r="E280" s="2">
        <v>278</v>
      </c>
      <c r="F280" s="6">
        <f t="shared" si="55"/>
        <v>69.5</v>
      </c>
      <c r="G280" s="6">
        <f t="shared" si="57"/>
        <v>6.6965430902352159</v>
      </c>
      <c r="H280" s="6">
        <f t="shared" si="58"/>
        <v>534.69382290654619</v>
      </c>
      <c r="I280" s="6">
        <f t="shared" si="59"/>
        <v>6.6835098710925438</v>
      </c>
      <c r="J280" s="6">
        <f t="shared" si="60"/>
        <v>765.30617709345336</v>
      </c>
      <c r="K280" s="6">
        <f t="shared" si="61"/>
        <v>4.783245064453725</v>
      </c>
      <c r="L280" s="6">
        <f t="shared" si="62"/>
        <v>1022.3226644206147</v>
      </c>
      <c r="M280" s="6">
        <f t="shared" si="56"/>
        <v>2.5502241086620576</v>
      </c>
      <c r="N280" s="6">
        <f t="shared" si="63"/>
        <v>1.9132980257814902</v>
      </c>
      <c r="O280" s="6">
        <f t="shared" si="64"/>
        <v>984.46302736443386</v>
      </c>
      <c r="P280" s="6">
        <f>SUM($G$2:G280)</f>
        <v>1956.7856917850488</v>
      </c>
      <c r="Q280" s="6">
        <f t="shared" si="65"/>
        <v>2322.3226644206147</v>
      </c>
      <c r="R280" s="6">
        <f t="shared" si="66"/>
        <v>2322.3226644206143</v>
      </c>
      <c r="S280" s="6">
        <f t="shared" si="67"/>
        <v>0</v>
      </c>
    </row>
    <row r="281" spans="5:19" x14ac:dyDescent="0.3">
      <c r="E281" s="2">
        <v>279</v>
      </c>
      <c r="F281" s="6">
        <f t="shared" si="55"/>
        <v>69.75</v>
      </c>
      <c r="G281" s="6">
        <f t="shared" si="57"/>
        <v>6.6964290495677172</v>
      </c>
      <c r="H281" s="6">
        <f t="shared" si="58"/>
        <v>534.70657916978212</v>
      </c>
      <c r="I281" s="6">
        <f t="shared" si="59"/>
        <v>6.6836727863318277</v>
      </c>
      <c r="J281" s="6">
        <f t="shared" si="60"/>
        <v>765.29342083021743</v>
      </c>
      <c r="K281" s="6">
        <f t="shared" si="61"/>
        <v>4.7831636068340835</v>
      </c>
      <c r="L281" s="6">
        <f t="shared" si="62"/>
        <v>1024.5500213663972</v>
      </c>
      <c r="M281" s="6">
        <f t="shared" si="56"/>
        <v>2.5558066610515371</v>
      </c>
      <c r="N281" s="6">
        <f t="shared" si="63"/>
        <v>1.9132654427336335</v>
      </c>
      <c r="O281" s="6">
        <f t="shared" si="64"/>
        <v>988.93209946821901</v>
      </c>
      <c r="P281" s="6">
        <f>SUM($G$2:G281)</f>
        <v>1963.4821208346166</v>
      </c>
      <c r="Q281" s="6">
        <f t="shared" si="65"/>
        <v>2324.5500213663977</v>
      </c>
      <c r="R281" s="6">
        <f t="shared" si="66"/>
        <v>2324.5500213663968</v>
      </c>
      <c r="S281" s="6">
        <f t="shared" si="67"/>
        <v>0</v>
      </c>
    </row>
    <row r="282" spans="5:19" x14ac:dyDescent="0.3">
      <c r="E282" s="2">
        <v>280</v>
      </c>
      <c r="F282" s="6">
        <f t="shared" si="55"/>
        <v>70</v>
      </c>
      <c r="G282" s="6">
        <f t="shared" si="57"/>
        <v>6.6963174322644035</v>
      </c>
      <c r="H282" s="6">
        <f t="shared" si="58"/>
        <v>534.71906436242421</v>
      </c>
      <c r="I282" s="6">
        <f t="shared" si="59"/>
        <v>6.6838322396222765</v>
      </c>
      <c r="J282" s="6">
        <f t="shared" si="60"/>
        <v>765.28093563757523</v>
      </c>
      <c r="K282" s="6">
        <f t="shared" si="61"/>
        <v>4.7830838801888591</v>
      </c>
      <c r="L282" s="6">
        <f t="shared" si="62"/>
        <v>1026.77173019317</v>
      </c>
      <c r="M282" s="6">
        <f t="shared" si="56"/>
        <v>2.5613750534159929</v>
      </c>
      <c r="N282" s="6">
        <f t="shared" si="63"/>
        <v>1.9132335520755437</v>
      </c>
      <c r="O282" s="6">
        <f t="shared" si="64"/>
        <v>993.40670807371055</v>
      </c>
      <c r="P282" s="6">
        <f>SUM($G$2:G282)</f>
        <v>1970.1784382668809</v>
      </c>
      <c r="Q282" s="6">
        <f t="shared" si="65"/>
        <v>2326.7717301931707</v>
      </c>
      <c r="R282" s="6">
        <f t="shared" si="66"/>
        <v>2326.7717301931698</v>
      </c>
      <c r="S282" s="6">
        <f t="shared" si="67"/>
        <v>0</v>
      </c>
    </row>
    <row r="283" spans="5:19" x14ac:dyDescent="0.3">
      <c r="E283" s="2">
        <v>281</v>
      </c>
      <c r="F283" s="6">
        <f t="shared" si="55"/>
        <v>70.25</v>
      </c>
      <c r="G283" s="6">
        <f t="shared" si="57"/>
        <v>6.6962081868287839</v>
      </c>
      <c r="H283" s="6">
        <f t="shared" si="58"/>
        <v>534.7312842447227</v>
      </c>
      <c r="I283" s="6">
        <f t="shared" si="59"/>
        <v>6.6839883045303026</v>
      </c>
      <c r="J283" s="6">
        <f t="shared" si="60"/>
        <v>765.26871575527673</v>
      </c>
      <c r="K283" s="6">
        <f t="shared" si="61"/>
        <v>4.7830058477348452</v>
      </c>
      <c r="L283" s="6">
        <f t="shared" si="62"/>
        <v>1028.987806715422</v>
      </c>
      <c r="M283" s="6">
        <f t="shared" si="56"/>
        <v>2.5669293254829251</v>
      </c>
      <c r="N283" s="6">
        <f t="shared" si="63"/>
        <v>1.9132023390939381</v>
      </c>
      <c r="O283" s="6">
        <f t="shared" si="64"/>
        <v>997.88683973828734</v>
      </c>
      <c r="P283" s="6">
        <f>SUM($G$2:G283)</f>
        <v>1976.8746464537096</v>
      </c>
      <c r="Q283" s="6">
        <f t="shared" si="65"/>
        <v>2328.9878067154223</v>
      </c>
      <c r="R283" s="6">
        <f t="shared" si="66"/>
        <v>2328.9878067154214</v>
      </c>
      <c r="S283" s="6">
        <f t="shared" si="67"/>
        <v>0</v>
      </c>
    </row>
    <row r="284" spans="5:19" x14ac:dyDescent="0.3">
      <c r="E284" s="2">
        <v>282</v>
      </c>
      <c r="F284" s="6">
        <f t="shared" si="55"/>
        <v>70.5</v>
      </c>
      <c r="G284" s="6">
        <f t="shared" si="57"/>
        <v>6.6961012628586722</v>
      </c>
      <c r="H284" s="6">
        <f t="shared" si="58"/>
        <v>534.74324445452237</v>
      </c>
      <c r="I284" s="6">
        <f t="shared" si="59"/>
        <v>6.6841410530590339</v>
      </c>
      <c r="J284" s="6">
        <f t="shared" si="60"/>
        <v>765.25675554547706</v>
      </c>
      <c r="K284" s="6">
        <f t="shared" si="61"/>
        <v>4.7829294734704799</v>
      </c>
      <c r="L284" s="6">
        <f t="shared" si="62"/>
        <v>1031.198266672104</v>
      </c>
      <c r="M284" s="6">
        <f t="shared" si="56"/>
        <v>2.572469516788555</v>
      </c>
      <c r="N284" s="6">
        <f t="shared" si="63"/>
        <v>1.9131717893881919</v>
      </c>
      <c r="O284" s="6">
        <f t="shared" si="64"/>
        <v>1002.3724810444642</v>
      </c>
      <c r="P284" s="6">
        <f>SUM($G$2:G284)</f>
        <v>1983.5707477165683</v>
      </c>
      <c r="Q284" s="6">
        <f t="shared" si="65"/>
        <v>2331.1982666721042</v>
      </c>
      <c r="R284" s="6">
        <f t="shared" si="66"/>
        <v>2331.1982666721033</v>
      </c>
      <c r="S284" s="6">
        <f t="shared" si="67"/>
        <v>0</v>
      </c>
    </row>
    <row r="285" spans="5:19" x14ac:dyDescent="0.3">
      <c r="E285" s="2">
        <v>283</v>
      </c>
      <c r="F285" s="6">
        <f t="shared" si="55"/>
        <v>70.75</v>
      </c>
      <c r="G285" s="6">
        <f t="shared" si="57"/>
        <v>6.6959966110229248</v>
      </c>
      <c r="H285" s="6">
        <f t="shared" si="58"/>
        <v>534.75495050986376</v>
      </c>
      <c r="I285" s="6">
        <f t="shared" si="59"/>
        <v>6.68429055568153</v>
      </c>
      <c r="J285" s="6">
        <f t="shared" si="60"/>
        <v>765.24504949013567</v>
      </c>
      <c r="K285" s="6">
        <f t="shared" si="61"/>
        <v>4.7828547221592315</v>
      </c>
      <c r="L285" s="6">
        <f t="shared" si="62"/>
        <v>1033.4031257275828</v>
      </c>
      <c r="M285" s="6">
        <f t="shared" si="56"/>
        <v>2.5779956666802599</v>
      </c>
      <c r="N285" s="6">
        <f t="shared" si="63"/>
        <v>1.9131418888636926</v>
      </c>
      <c r="O285" s="6">
        <f t="shared" si="64"/>
        <v>1006.8636186000082</v>
      </c>
      <c r="P285" s="6">
        <f>SUM($G$2:G285)</f>
        <v>1990.2667443275914</v>
      </c>
      <c r="Q285" s="6">
        <f t="shared" si="65"/>
        <v>2333.4031257275833</v>
      </c>
      <c r="R285" s="6">
        <f t="shared" si="66"/>
        <v>2333.4031257275824</v>
      </c>
      <c r="S285" s="6">
        <f t="shared" si="67"/>
        <v>0</v>
      </c>
    </row>
    <row r="286" spans="5:19" x14ac:dyDescent="0.3">
      <c r="E286" s="2">
        <v>284</v>
      </c>
      <c r="F286" s="6">
        <f t="shared" si="55"/>
        <v>71</v>
      </c>
      <c r="G286" s="6">
        <f t="shared" si="57"/>
        <v>6.6958941830386873</v>
      </c>
      <c r="H286" s="6">
        <f t="shared" si="58"/>
        <v>534.76640781152912</v>
      </c>
      <c r="I286" s="6">
        <f t="shared" si="59"/>
        <v>6.6844368813732968</v>
      </c>
      <c r="J286" s="6">
        <f t="shared" si="60"/>
        <v>765.23359218847031</v>
      </c>
      <c r="K286" s="6">
        <f t="shared" si="61"/>
        <v>4.7827815593133476</v>
      </c>
      <c r="L286" s="6">
        <f t="shared" si="62"/>
        <v>1035.6023994725772</v>
      </c>
      <c r="M286" s="6">
        <f t="shared" si="56"/>
        <v>2.5835078143189572</v>
      </c>
      <c r="N286" s="6">
        <f t="shared" si="63"/>
        <v>1.9131126237253393</v>
      </c>
      <c r="O286" s="6">
        <f t="shared" si="64"/>
        <v>1011.3602390380524</v>
      </c>
      <c r="P286" s="6">
        <f>SUM($G$2:G286)</f>
        <v>1996.9626385106301</v>
      </c>
      <c r="Q286" s="6">
        <f t="shared" si="65"/>
        <v>2335.6023994725779</v>
      </c>
      <c r="R286" s="6">
        <f t="shared" si="66"/>
        <v>2335.6023994725765</v>
      </c>
      <c r="S286" s="6">
        <f t="shared" si="67"/>
        <v>0</v>
      </c>
    </row>
    <row r="287" spans="5:19" x14ac:dyDescent="0.3">
      <c r="E287" s="2">
        <v>285</v>
      </c>
      <c r="F287" s="6">
        <f t="shared" si="55"/>
        <v>71.25</v>
      </c>
      <c r="G287" s="6">
        <f t="shared" si="57"/>
        <v>6.6957939316491162</v>
      </c>
      <c r="H287" s="6">
        <f t="shared" si="58"/>
        <v>534.77762164553417</v>
      </c>
      <c r="I287" s="6">
        <f t="shared" si="59"/>
        <v>6.6845800976441136</v>
      </c>
      <c r="J287" s="6">
        <f t="shared" si="60"/>
        <v>765.22237835446538</v>
      </c>
      <c r="K287" s="6">
        <f t="shared" si="61"/>
        <v>4.7827099511779396</v>
      </c>
      <c r="L287" s="6">
        <f t="shared" si="62"/>
        <v>1037.7961034250736</v>
      </c>
      <c r="M287" s="6">
        <f t="shared" si="56"/>
        <v>2.5890059986814431</v>
      </c>
      <c r="N287" s="6">
        <f t="shared" si="63"/>
        <v>1.9130839804711759</v>
      </c>
      <c r="O287" s="6">
        <f t="shared" si="64"/>
        <v>1015.862329017205</v>
      </c>
      <c r="P287" s="6">
        <f>SUM($G$2:G287)</f>
        <v>2003.6584324422793</v>
      </c>
      <c r="Q287" s="6">
        <f t="shared" si="65"/>
        <v>2337.7961034250743</v>
      </c>
      <c r="R287" s="6">
        <f t="shared" si="66"/>
        <v>2337.7961034250729</v>
      </c>
      <c r="S287" s="6">
        <f t="shared" si="67"/>
        <v>0</v>
      </c>
    </row>
    <row r="288" spans="5:19" x14ac:dyDescent="0.3">
      <c r="E288" s="2">
        <v>286</v>
      </c>
      <c r="F288" s="6">
        <f t="shared" si="55"/>
        <v>71.5</v>
      </c>
      <c r="G288" s="6">
        <f t="shared" si="57"/>
        <v>6.6956958106015723</v>
      </c>
      <c r="H288" s="6">
        <f t="shared" si="58"/>
        <v>534.78859718556657</v>
      </c>
      <c r="I288" s="6">
        <f t="shared" si="59"/>
        <v>6.6847202705691773</v>
      </c>
      <c r="J288" s="6">
        <f t="shared" si="60"/>
        <v>765.21140281443297</v>
      </c>
      <c r="K288" s="6">
        <f t="shared" si="61"/>
        <v>4.7826398647154083</v>
      </c>
      <c r="L288" s="6">
        <f t="shared" si="62"/>
        <v>1039.9842530312264</v>
      </c>
      <c r="M288" s="6">
        <f t="shared" si="56"/>
        <v>2.5944902585626841</v>
      </c>
      <c r="N288" s="6">
        <f t="shared" si="63"/>
        <v>1.9130559458861636</v>
      </c>
      <c r="O288" s="6">
        <f t="shared" si="64"/>
        <v>1020.3698752216538</v>
      </c>
      <c r="P288" s="6">
        <f>SUM($G$2:G288)</f>
        <v>2010.3541282528809</v>
      </c>
      <c r="Q288" s="6">
        <f t="shared" si="65"/>
        <v>2339.9842530312271</v>
      </c>
      <c r="R288" s="6">
        <f t="shared" si="66"/>
        <v>2339.9842530312262</v>
      </c>
      <c r="S288" s="6">
        <f t="shared" si="67"/>
        <v>0</v>
      </c>
    </row>
    <row r="289" spans="5:19" x14ac:dyDescent="0.3">
      <c r="E289" s="2">
        <v>287</v>
      </c>
      <c r="F289" s="6">
        <f t="shared" si="55"/>
        <v>71.75</v>
      </c>
      <c r="G289" s="6">
        <f t="shared" si="57"/>
        <v>6.695599774626289</v>
      </c>
      <c r="H289" s="6">
        <f t="shared" si="58"/>
        <v>534.79933949537326</v>
      </c>
      <c r="I289" s="6">
        <f t="shared" si="59"/>
        <v>6.684857464819582</v>
      </c>
      <c r="J289" s="6">
        <f t="shared" si="60"/>
        <v>765.20066050462628</v>
      </c>
      <c r="K289" s="6">
        <f t="shared" si="61"/>
        <v>4.7825712675902059</v>
      </c>
      <c r="L289" s="6">
        <f t="shared" si="62"/>
        <v>1042.1668636662387</v>
      </c>
      <c r="M289" s="6">
        <f t="shared" si="56"/>
        <v>2.5999606325780662</v>
      </c>
      <c r="N289" s="6">
        <f t="shared" si="63"/>
        <v>1.9130285070360824</v>
      </c>
      <c r="O289" s="6">
        <f t="shared" si="64"/>
        <v>1024.882864361268</v>
      </c>
      <c r="P289" s="6">
        <f>SUM($G$2:G289)</f>
        <v>2017.0497280275072</v>
      </c>
      <c r="Q289" s="6">
        <f t="shared" si="65"/>
        <v>2342.1668636662389</v>
      </c>
      <c r="R289" s="6">
        <f t="shared" si="66"/>
        <v>2342.166863666238</v>
      </c>
      <c r="S289" s="6">
        <f t="shared" si="67"/>
        <v>0</v>
      </c>
    </row>
    <row r="290" spans="5:19" x14ac:dyDescent="0.3">
      <c r="E290" s="2">
        <v>288</v>
      </c>
      <c r="F290" s="6">
        <f t="shared" si="55"/>
        <v>72</v>
      </c>
      <c r="G290" s="6">
        <f t="shared" si="57"/>
        <v>6.6955057794154804</v>
      </c>
      <c r="H290" s="6">
        <f t="shared" si="58"/>
        <v>534.80985353109656</v>
      </c>
      <c r="I290" s="6">
        <f t="shared" si="59"/>
        <v>6.6849917436921658</v>
      </c>
      <c r="J290" s="6">
        <f t="shared" si="60"/>
        <v>765.19014646890298</v>
      </c>
      <c r="K290" s="6">
        <f t="shared" si="61"/>
        <v>4.7825041281539145</v>
      </c>
      <c r="L290" s="6">
        <f t="shared" si="62"/>
        <v>1044.343950635227</v>
      </c>
      <c r="M290" s="6">
        <f t="shared" si="56"/>
        <v>2.6054171591655968</v>
      </c>
      <c r="N290" s="6">
        <f t="shared" si="63"/>
        <v>1.9130016512615657</v>
      </c>
      <c r="O290" s="6">
        <f t="shared" si="64"/>
        <v>1029.4012831716952</v>
      </c>
      <c r="P290" s="6">
        <f>SUM($G$2:G290)</f>
        <v>2023.7452338069227</v>
      </c>
      <c r="Q290" s="6">
        <f t="shared" si="65"/>
        <v>2344.343950635227</v>
      </c>
      <c r="R290" s="6">
        <f t="shared" si="66"/>
        <v>2344.3439506352265</v>
      </c>
      <c r="S290" s="6">
        <f t="shared" si="67"/>
        <v>0</v>
      </c>
    </row>
    <row r="291" spans="5:19" x14ac:dyDescent="0.3">
      <c r="E291" s="2">
        <v>289</v>
      </c>
      <c r="F291" s="6">
        <f t="shared" si="55"/>
        <v>72.25</v>
      </c>
      <c r="G291" s="6">
        <f t="shared" si="57"/>
        <v>6.6954137816029018</v>
      </c>
      <c r="H291" s="6">
        <f t="shared" si="58"/>
        <v>534.82014414356081</v>
      </c>
      <c r="I291" s="6">
        <f t="shared" si="59"/>
        <v>6.6851231691387074</v>
      </c>
      <c r="J291" s="6">
        <f t="shared" si="60"/>
        <v>765.17985585643873</v>
      </c>
      <c r="K291" s="6">
        <f t="shared" si="61"/>
        <v>4.7824384154306436</v>
      </c>
      <c r="L291" s="6">
        <f t="shared" si="62"/>
        <v>1046.5155291740696</v>
      </c>
      <c r="M291" s="6">
        <f t="shared" si="56"/>
        <v>2.6108598765880675</v>
      </c>
      <c r="N291" s="6">
        <f t="shared" si="63"/>
        <v>1.9129753661722575</v>
      </c>
      <c r="O291" s="6">
        <f t="shared" si="64"/>
        <v>1033.9251184144557</v>
      </c>
      <c r="P291" s="6">
        <f>SUM($G$2:G291)</f>
        <v>2030.4406475885255</v>
      </c>
      <c r="Q291" s="6">
        <f t="shared" si="65"/>
        <v>2346.5155291740693</v>
      </c>
      <c r="R291" s="6">
        <f t="shared" si="66"/>
        <v>2346.5155291740693</v>
      </c>
      <c r="S291" s="6">
        <f t="shared" si="67"/>
        <v>0</v>
      </c>
    </row>
    <row r="292" spans="5:19" x14ac:dyDescent="0.3">
      <c r="E292" s="2">
        <v>290</v>
      </c>
      <c r="F292" s="6">
        <f t="shared" si="55"/>
        <v>72.5</v>
      </c>
      <c r="G292" s="6">
        <f t="shared" si="57"/>
        <v>6.6953237387438396</v>
      </c>
      <c r="H292" s="6">
        <f t="shared" si="58"/>
        <v>534.83021608051013</v>
      </c>
      <c r="I292" s="6">
        <f t="shared" si="59"/>
        <v>6.68525180179451</v>
      </c>
      <c r="J292" s="6">
        <f t="shared" si="60"/>
        <v>765.16978391948942</v>
      </c>
      <c r="K292" s="6">
        <f t="shared" si="61"/>
        <v>4.7823740991027419</v>
      </c>
      <c r="L292" s="6">
        <f t="shared" si="62"/>
        <v>1048.6816144502372</v>
      </c>
      <c r="M292" s="6">
        <f t="shared" si="56"/>
        <v>2.6162888229351742</v>
      </c>
      <c r="N292" s="6">
        <f t="shared" si="63"/>
        <v>1.9129496396410968</v>
      </c>
      <c r="O292" s="6">
        <f t="shared" si="64"/>
        <v>1038.4543568770318</v>
      </c>
      <c r="P292" s="6">
        <f>SUM($G$2:G292)</f>
        <v>2037.1359713272693</v>
      </c>
      <c r="Q292" s="6">
        <f t="shared" si="65"/>
        <v>2348.6816144502377</v>
      </c>
      <c r="R292" s="6">
        <f t="shared" si="66"/>
        <v>2348.6816144502368</v>
      </c>
      <c r="S292" s="6">
        <f t="shared" si="67"/>
        <v>0</v>
      </c>
    </row>
    <row r="293" spans="5:19" x14ac:dyDescent="0.3">
      <c r="E293" s="2">
        <v>291</v>
      </c>
      <c r="F293" s="6">
        <f t="shared" si="55"/>
        <v>72.75</v>
      </c>
      <c r="G293" s="6">
        <f t="shared" si="57"/>
        <v>6.6952356092955334</v>
      </c>
      <c r="H293" s="6">
        <f t="shared" si="58"/>
        <v>534.8400739887993</v>
      </c>
      <c r="I293" s="6">
        <f t="shared" si="59"/>
        <v>6.6853777010063764</v>
      </c>
      <c r="J293" s="6">
        <f t="shared" si="60"/>
        <v>765.15992601120024</v>
      </c>
      <c r="K293" s="6">
        <f t="shared" si="61"/>
        <v>4.7823111494968087</v>
      </c>
      <c r="L293" s="6">
        <f t="shared" si="62"/>
        <v>1050.8422215636085</v>
      </c>
      <c r="M293" s="6">
        <f t="shared" si="56"/>
        <v>2.621704036125593</v>
      </c>
      <c r="N293" s="6">
        <f t="shared" si="63"/>
        <v>1.9129244597987236</v>
      </c>
      <c r="O293" s="6">
        <f t="shared" si="64"/>
        <v>1042.988985372956</v>
      </c>
      <c r="P293" s="6">
        <f>SUM($G$2:G293)</f>
        <v>2043.8312069365647</v>
      </c>
      <c r="Q293" s="6">
        <f t="shared" si="65"/>
        <v>2350.8422215636087</v>
      </c>
      <c r="R293" s="6">
        <f t="shared" si="66"/>
        <v>2350.8422215636083</v>
      </c>
      <c r="S293" s="6">
        <f t="shared" si="67"/>
        <v>0</v>
      </c>
    </row>
    <row r="294" spans="5:19" x14ac:dyDescent="0.3">
      <c r="E294" s="2">
        <v>292</v>
      </c>
      <c r="F294" s="6">
        <f t="shared" si="55"/>
        <v>73</v>
      </c>
      <c r="G294" s="6">
        <f t="shared" si="57"/>
        <v>6.695149352598003</v>
      </c>
      <c r="H294" s="6">
        <f t="shared" si="58"/>
        <v>534.84972241653736</v>
      </c>
      <c r="I294" s="6">
        <f t="shared" si="59"/>
        <v>6.6855009248599915</v>
      </c>
      <c r="J294" s="6">
        <f t="shared" si="60"/>
        <v>765.15027758346218</v>
      </c>
      <c r="K294" s="6">
        <f t="shared" si="61"/>
        <v>4.7822495375700012</v>
      </c>
      <c r="L294" s="6">
        <f t="shared" si="62"/>
        <v>1052.9973655472695</v>
      </c>
      <c r="M294" s="6">
        <f t="shared" si="56"/>
        <v>2.6271055539090216</v>
      </c>
      <c r="N294" s="6">
        <f t="shared" si="63"/>
        <v>1.9128998150280005</v>
      </c>
      <c r="O294" s="6">
        <f t="shared" si="64"/>
        <v>1047.528990741893</v>
      </c>
      <c r="P294" s="6">
        <f>SUM($G$2:G294)</f>
        <v>2050.5263562891628</v>
      </c>
      <c r="Q294" s="6">
        <f t="shared" si="65"/>
        <v>2352.9973655472695</v>
      </c>
      <c r="R294" s="6">
        <f t="shared" si="66"/>
        <v>2352.9973655472691</v>
      </c>
      <c r="S294" s="6">
        <f t="shared" si="67"/>
        <v>0</v>
      </c>
    </row>
    <row r="295" spans="5:19" x14ac:dyDescent="0.3">
      <c r="E295" s="2">
        <v>293</v>
      </c>
      <c r="F295" s="6">
        <f t="shared" si="55"/>
        <v>73.25</v>
      </c>
      <c r="G295" s="6">
        <f t="shared" si="57"/>
        <v>6.6950649288552944</v>
      </c>
      <c r="H295" s="6">
        <f t="shared" si="58"/>
        <v>534.85916581518597</v>
      </c>
      <c r="I295" s="6">
        <f t="shared" si="59"/>
        <v>6.685621530206717</v>
      </c>
      <c r="J295" s="6">
        <f t="shared" si="60"/>
        <v>765.14083418481357</v>
      </c>
      <c r="K295" s="6">
        <f t="shared" si="61"/>
        <v>4.7821892348966388</v>
      </c>
      <c r="L295" s="6">
        <f t="shared" si="62"/>
        <v>1055.147061368298</v>
      </c>
      <c r="M295" s="6">
        <f t="shared" si="56"/>
        <v>2.6324934138681737</v>
      </c>
      <c r="N295" s="6">
        <f t="shared" si="63"/>
        <v>1.9128756939586555</v>
      </c>
      <c r="O295" s="6">
        <f t="shared" si="64"/>
        <v>1052.0743598497199</v>
      </c>
      <c r="P295" s="6">
        <f>SUM($G$2:G295)</f>
        <v>2057.2214212180179</v>
      </c>
      <c r="Q295" s="6">
        <f t="shared" si="65"/>
        <v>2355.1470613682977</v>
      </c>
      <c r="R295" s="6">
        <f t="shared" si="66"/>
        <v>2355.1470613682977</v>
      </c>
      <c r="S295" s="6">
        <f t="shared" si="67"/>
        <v>0</v>
      </c>
    </row>
    <row r="296" spans="5:19" x14ac:dyDescent="0.3">
      <c r="E296" s="2">
        <v>294</v>
      </c>
      <c r="F296" s="6">
        <f t="shared" si="55"/>
        <v>73.5</v>
      </c>
      <c r="G296" s="6">
        <f t="shared" si="57"/>
        <v>6.6949822991171191</v>
      </c>
      <c r="H296" s="6">
        <f t="shared" si="58"/>
        <v>534.86840854161323</v>
      </c>
      <c r="I296" s="6">
        <f t="shared" si="59"/>
        <v>6.6857395726898243</v>
      </c>
      <c r="J296" s="6">
        <f t="shared" si="60"/>
        <v>765.1315914583862</v>
      </c>
      <c r="K296" s="6">
        <f t="shared" si="61"/>
        <v>4.7821302136550852</v>
      </c>
      <c r="L296" s="6">
        <f t="shared" si="62"/>
        <v>1057.2913239285324</v>
      </c>
      <c r="M296" s="6">
        <f t="shared" si="56"/>
        <v>2.637867653420745</v>
      </c>
      <c r="N296" s="6">
        <f t="shared" si="63"/>
        <v>1.9128520854620339</v>
      </c>
      <c r="O296" s="6">
        <f t="shared" si="64"/>
        <v>1056.6250795886026</v>
      </c>
      <c r="P296" s="6">
        <f>SUM($G$2:G296)</f>
        <v>2063.9164035171352</v>
      </c>
      <c r="Q296" s="6">
        <f t="shared" si="65"/>
        <v>2357.2913239285326</v>
      </c>
      <c r="R296" s="6">
        <f t="shared" si="66"/>
        <v>2357.2913239285317</v>
      </c>
      <c r="S296" s="6">
        <f t="shared" si="67"/>
        <v>0</v>
      </c>
    </row>
    <row r="297" spans="5:19" x14ac:dyDescent="0.3">
      <c r="E297" s="2">
        <v>295</v>
      </c>
      <c r="F297" s="6">
        <f t="shared" si="55"/>
        <v>73.75</v>
      </c>
      <c r="G297" s="6">
        <f t="shared" si="57"/>
        <v>6.6949014252608796</v>
      </c>
      <c r="H297" s="6">
        <f t="shared" si="58"/>
        <v>534.87745486010397</v>
      </c>
      <c r="I297" s="6">
        <f t="shared" si="59"/>
        <v>6.6858551067701653</v>
      </c>
      <c r="J297" s="6">
        <f t="shared" si="60"/>
        <v>765.12254513989546</v>
      </c>
      <c r="K297" s="6">
        <f t="shared" si="61"/>
        <v>4.7820724466149134</v>
      </c>
      <c r="L297" s="6">
        <f t="shared" si="62"/>
        <v>1059.4301680653259</v>
      </c>
      <c r="M297" s="6">
        <f t="shared" si="56"/>
        <v>2.6432283098213309</v>
      </c>
      <c r="N297" s="6">
        <f t="shared" si="63"/>
        <v>1.9128289786459656</v>
      </c>
      <c r="O297" s="6">
        <f t="shared" si="64"/>
        <v>1061.18113687707</v>
      </c>
      <c r="P297" s="6">
        <f>SUM($G$2:G297)</f>
        <v>2070.6113049423961</v>
      </c>
      <c r="Q297" s="6">
        <f t="shared" si="65"/>
        <v>2359.4301680653261</v>
      </c>
      <c r="R297" s="6">
        <f t="shared" si="66"/>
        <v>2359.4301680653252</v>
      </c>
      <c r="S297" s="6">
        <f t="shared" si="67"/>
        <v>0</v>
      </c>
    </row>
    <row r="298" spans="5:19" x14ac:dyDescent="0.3">
      <c r="E298" s="2">
        <v>296</v>
      </c>
      <c r="F298" s="6">
        <f t="shared" si="55"/>
        <v>74</v>
      </c>
      <c r="G298" s="6">
        <f t="shared" si="57"/>
        <v>6.694822269974086</v>
      </c>
      <c r="H298" s="6">
        <f t="shared" si="58"/>
        <v>534.88630894432674</v>
      </c>
      <c r="I298" s="6">
        <f t="shared" si="59"/>
        <v>6.6859681857512996</v>
      </c>
      <c r="J298" s="6">
        <f t="shared" si="60"/>
        <v>765.11369105567269</v>
      </c>
      <c r="K298" s="6">
        <f t="shared" si="61"/>
        <v>4.7820159071243467</v>
      </c>
      <c r="L298" s="6">
        <f t="shared" si="62"/>
        <v>1061.563608552287</v>
      </c>
      <c r="M298" s="6">
        <f t="shared" si="56"/>
        <v>2.6485754201633149</v>
      </c>
      <c r="N298" s="6">
        <f t="shared" si="63"/>
        <v>1.9128063628497387</v>
      </c>
      <c r="O298" s="6">
        <f t="shared" si="64"/>
        <v>1065.7425186600831</v>
      </c>
      <c r="P298" s="6">
        <f>SUM($G$2:G298)</f>
        <v>2077.30612721237</v>
      </c>
      <c r="Q298" s="6">
        <f t="shared" si="65"/>
        <v>2361.563608552287</v>
      </c>
      <c r="R298" s="6">
        <f t="shared" si="66"/>
        <v>2361.5636085522865</v>
      </c>
      <c r="S298" s="6">
        <f t="shared" si="67"/>
        <v>0</v>
      </c>
    </row>
    <row r="299" spans="5:19" x14ac:dyDescent="0.3">
      <c r="E299" s="2">
        <v>297</v>
      </c>
      <c r="F299" s="6">
        <f t="shared" si="55"/>
        <v>74.25</v>
      </c>
      <c r="G299" s="6">
        <f t="shared" si="57"/>
        <v>6.6947447967371367</v>
      </c>
      <c r="H299" s="6">
        <f t="shared" si="58"/>
        <v>534.89497487925985</v>
      </c>
      <c r="I299" s="6">
        <f t="shared" si="59"/>
        <v>6.6860788618040843</v>
      </c>
      <c r="J299" s="6">
        <f t="shared" si="60"/>
        <v>765.10502512073958</v>
      </c>
      <c r="K299" s="6">
        <f t="shared" si="61"/>
        <v>4.7819605690979543</v>
      </c>
      <c r="L299" s="6">
        <f t="shared" si="62"/>
        <v>1063.6916601000041</v>
      </c>
      <c r="M299" s="6">
        <f t="shared" si="56"/>
        <v>2.6539090213807173</v>
      </c>
      <c r="N299" s="6">
        <f t="shared" si="63"/>
        <v>1.9127842276391818</v>
      </c>
      <c r="O299" s="6">
        <f t="shared" si="64"/>
        <v>1070.3092119091029</v>
      </c>
      <c r="P299" s="6">
        <f>SUM($G$2:G299)</f>
        <v>2084.0008720091073</v>
      </c>
      <c r="Q299" s="6">
        <f t="shared" si="65"/>
        <v>2363.6916601000044</v>
      </c>
      <c r="R299" s="6">
        <f t="shared" si="66"/>
        <v>2363.6916601000039</v>
      </c>
      <c r="S299" s="6">
        <f t="shared" si="67"/>
        <v>0</v>
      </c>
    </row>
    <row r="300" spans="5:19" x14ac:dyDescent="0.3">
      <c r="E300" s="2">
        <v>298</v>
      </c>
      <c r="F300" s="6">
        <f t="shared" si="55"/>
        <v>74.5</v>
      </c>
      <c r="G300" s="6">
        <f t="shared" si="57"/>
        <v>6.6946689698064716</v>
      </c>
      <c r="H300" s="6">
        <f t="shared" si="58"/>
        <v>534.90345666307553</v>
      </c>
      <c r="I300" s="6">
        <f t="shared" si="59"/>
        <v>6.6861871859907485</v>
      </c>
      <c r="J300" s="6">
        <f t="shared" si="60"/>
        <v>765.0965433369239</v>
      </c>
      <c r="K300" s="6">
        <f t="shared" si="61"/>
        <v>4.7819064070046222</v>
      </c>
      <c r="L300" s="6">
        <f t="shared" si="62"/>
        <v>1065.8143373567586</v>
      </c>
      <c r="M300" s="6">
        <f t="shared" si="56"/>
        <v>2.6592291502500105</v>
      </c>
      <c r="N300" s="6">
        <f t="shared" si="63"/>
        <v>1.912762562801849</v>
      </c>
      <c r="O300" s="6">
        <f t="shared" si="64"/>
        <v>1074.8812036221548</v>
      </c>
      <c r="P300" s="6">
        <f>SUM($G$2:G300)</f>
        <v>2090.6955409789139</v>
      </c>
      <c r="Q300" s="6">
        <f t="shared" si="65"/>
        <v>2365.8143373567591</v>
      </c>
      <c r="R300" s="6">
        <f t="shared" si="66"/>
        <v>2365.8143373567582</v>
      </c>
      <c r="S300" s="6">
        <f t="shared" si="67"/>
        <v>0</v>
      </c>
    </row>
    <row r="301" spans="5:19" x14ac:dyDescent="0.3">
      <c r="E301" s="2">
        <v>299</v>
      </c>
      <c r="F301" s="6">
        <f t="shared" si="55"/>
        <v>74.75</v>
      </c>
      <c r="G301" s="6">
        <f t="shared" si="57"/>
        <v>6.6945947541980848</v>
      </c>
      <c r="H301" s="6">
        <f t="shared" si="58"/>
        <v>534.91175820898513</v>
      </c>
      <c r="I301" s="6">
        <f t="shared" si="59"/>
        <v>6.6862932082884443</v>
      </c>
      <c r="J301" s="6">
        <f t="shared" si="60"/>
        <v>765.0882417910143</v>
      </c>
      <c r="K301" s="6">
        <f t="shared" si="61"/>
        <v>4.7818533958557747</v>
      </c>
      <c r="L301" s="6">
        <f t="shared" si="62"/>
        <v>1067.9316549092225</v>
      </c>
      <c r="M301" s="6">
        <f t="shared" si="56"/>
        <v>2.6645358433918966</v>
      </c>
      <c r="N301" s="6">
        <f t="shared" si="63"/>
        <v>1.9127413583423098</v>
      </c>
      <c r="O301" s="6">
        <f t="shared" si="64"/>
        <v>1079.458480823889</v>
      </c>
      <c r="P301" s="6">
        <f>SUM($G$2:G301)</f>
        <v>2097.3901357331119</v>
      </c>
      <c r="Q301" s="6">
        <f t="shared" si="65"/>
        <v>2367.9316549092227</v>
      </c>
      <c r="R301" s="6">
        <f t="shared" si="66"/>
        <v>2367.9316549092218</v>
      </c>
      <c r="S301" s="6">
        <f t="shared" si="67"/>
        <v>0</v>
      </c>
    </row>
    <row r="302" spans="5:19" x14ac:dyDescent="0.3">
      <c r="E302" s="2">
        <v>300</v>
      </c>
      <c r="F302" s="6">
        <f t="shared" si="55"/>
        <v>75</v>
      </c>
      <c r="G302" s="6">
        <f t="shared" si="57"/>
        <v>6.6945221156713757</v>
      </c>
      <c r="H302" s="6">
        <f t="shared" si="58"/>
        <v>534.91988334704422</v>
      </c>
      <c r="I302" s="6">
        <f t="shared" si="59"/>
        <v>6.686396977612314</v>
      </c>
      <c r="J302" s="6">
        <f t="shared" si="60"/>
        <v>765.08011665295521</v>
      </c>
      <c r="K302" s="6">
        <f t="shared" si="61"/>
        <v>4.781801511193839</v>
      </c>
      <c r="L302" s="6">
        <f t="shared" si="62"/>
        <v>1070.0436272831432</v>
      </c>
      <c r="M302" s="6">
        <f t="shared" si="56"/>
        <v>2.6698291372730565</v>
      </c>
      <c r="N302" s="6">
        <f t="shared" si="63"/>
        <v>1.9127206044775358</v>
      </c>
      <c r="O302" s="6">
        <f t="shared" si="64"/>
        <v>1084.0410305656396</v>
      </c>
      <c r="P302" s="6">
        <f>SUM($G$2:G302)</f>
        <v>2104.0846578487835</v>
      </c>
      <c r="Q302" s="6">
        <f t="shared" si="65"/>
        <v>2370.0436272831439</v>
      </c>
      <c r="R302" s="6">
        <f t="shared" si="66"/>
        <v>2370.043627283143</v>
      </c>
      <c r="S302" s="6">
        <f t="shared" si="67"/>
        <v>0</v>
      </c>
    </row>
    <row r="303" spans="5:19" x14ac:dyDescent="0.3">
      <c r="E303" s="2">
        <v>301</v>
      </c>
      <c r="F303" s="6">
        <f t="shared" si="55"/>
        <v>75.25</v>
      </c>
      <c r="G303" s="6">
        <f t="shared" si="57"/>
        <v>6.694451020713359</v>
      </c>
      <c r="H303" s="6">
        <f t="shared" si="58"/>
        <v>534.92783582591949</v>
      </c>
      <c r="I303" s="6">
        <f t="shared" si="59"/>
        <v>6.6864985418380529</v>
      </c>
      <c r="J303" s="6">
        <f t="shared" si="60"/>
        <v>765.07216417407994</v>
      </c>
      <c r="K303" s="6">
        <f t="shared" si="61"/>
        <v>4.7817507290809704</v>
      </c>
      <c r="L303" s="6">
        <f t="shared" si="62"/>
        <v>1072.1502689440163</v>
      </c>
      <c r="M303" s="6">
        <f t="shared" si="56"/>
        <v>2.675109068207858</v>
      </c>
      <c r="N303" s="6">
        <f t="shared" si="63"/>
        <v>1.9127002916323881</v>
      </c>
      <c r="O303" s="6">
        <f t="shared" si="64"/>
        <v>1088.6288399254797</v>
      </c>
      <c r="P303" s="6">
        <f>SUM($G$2:G303)</f>
        <v>2110.7791088694967</v>
      </c>
      <c r="Q303" s="6">
        <f t="shared" si="65"/>
        <v>2372.1502689440167</v>
      </c>
      <c r="R303" s="6">
        <f t="shared" si="66"/>
        <v>2372.1502689440158</v>
      </c>
      <c r="S303" s="6">
        <f t="shared" si="67"/>
        <v>0</v>
      </c>
    </row>
    <row r="304" spans="5:19" x14ac:dyDescent="0.3">
      <c r="E304" s="2">
        <v>302</v>
      </c>
      <c r="F304" s="6">
        <f t="shared" si="55"/>
        <v>75.5</v>
      </c>
      <c r="G304" s="6">
        <f t="shared" si="57"/>
        <v>6.6943814365231997</v>
      </c>
      <c r="H304" s="6">
        <f t="shared" si="58"/>
        <v>534.93561931461875</v>
      </c>
      <c r="I304" s="6">
        <f t="shared" si="59"/>
        <v>6.6865979478239934</v>
      </c>
      <c r="J304" s="6">
        <f t="shared" si="60"/>
        <v>765.0643806853808</v>
      </c>
      <c r="K304" s="6">
        <f t="shared" si="61"/>
        <v>4.7817010260879993</v>
      </c>
      <c r="L304" s="6">
        <f t="shared" si="62"/>
        <v>1074.2515942977443</v>
      </c>
      <c r="M304" s="6">
        <f t="shared" si="56"/>
        <v>2.6803756723600407</v>
      </c>
      <c r="N304" s="6">
        <f t="shared" si="63"/>
        <v>1.9126804104352</v>
      </c>
      <c r="O304" s="6">
        <f t="shared" si="64"/>
        <v>1093.2218960082748</v>
      </c>
      <c r="P304" s="6">
        <f>SUM($G$2:G304)</f>
        <v>2117.4734903060198</v>
      </c>
      <c r="Q304" s="6">
        <f t="shared" si="65"/>
        <v>2374.2515942977452</v>
      </c>
      <c r="R304" s="6">
        <f t="shared" si="66"/>
        <v>2374.2515942977438</v>
      </c>
      <c r="S304" s="6">
        <f t="shared" si="67"/>
        <v>0</v>
      </c>
    </row>
    <row r="305" spans="5:19" x14ac:dyDescent="0.3">
      <c r="E305" s="2">
        <v>303</v>
      </c>
      <c r="F305" s="6">
        <f t="shared" si="55"/>
        <v>75.75</v>
      </c>
      <c r="G305" s="6">
        <f t="shared" si="57"/>
        <v>6.6943133309970824</v>
      </c>
      <c r="H305" s="6">
        <f t="shared" si="58"/>
        <v>534.94323740418315</v>
      </c>
      <c r="I305" s="6">
        <f t="shared" si="59"/>
        <v>6.6866952414327345</v>
      </c>
      <c r="J305" s="6">
        <f t="shared" si="60"/>
        <v>765.05676259581651</v>
      </c>
      <c r="K305" s="6">
        <f t="shared" si="61"/>
        <v>4.7816523792836296</v>
      </c>
      <c r="L305" s="6">
        <f t="shared" si="62"/>
        <v>1076.3476176912836</v>
      </c>
      <c r="M305" s="6">
        <f t="shared" si="56"/>
        <v>2.6856289857443607</v>
      </c>
      <c r="N305" s="6">
        <f t="shared" si="63"/>
        <v>1.9126609517134521</v>
      </c>
      <c r="O305" s="6">
        <f t="shared" si="64"/>
        <v>1097.8201859457326</v>
      </c>
      <c r="P305" s="6">
        <f>SUM($G$2:G305)</f>
        <v>2124.1678036370167</v>
      </c>
      <c r="Q305" s="6">
        <f t="shared" si="65"/>
        <v>2376.3476176912841</v>
      </c>
      <c r="R305" s="6">
        <f t="shared" si="66"/>
        <v>2376.3476176912832</v>
      </c>
      <c r="S305" s="6">
        <f t="shared" si="67"/>
        <v>0</v>
      </c>
    </row>
    <row r="306" spans="5:19" x14ac:dyDescent="0.3">
      <c r="E306" s="2">
        <v>304</v>
      </c>
      <c r="F306" s="6">
        <f t="shared" si="55"/>
        <v>76</v>
      </c>
      <c r="G306" s="6">
        <f t="shared" si="57"/>
        <v>6.6942466727133949</v>
      </c>
      <c r="H306" s="6">
        <f t="shared" si="58"/>
        <v>534.95069360934428</v>
      </c>
      <c r="I306" s="6">
        <f t="shared" si="59"/>
        <v>6.6867904675522896</v>
      </c>
      <c r="J306" s="6">
        <f t="shared" si="60"/>
        <v>765.04930639065549</v>
      </c>
      <c r="K306" s="6">
        <f t="shared" si="61"/>
        <v>4.781604766223853</v>
      </c>
      <c r="L306" s="6">
        <f t="shared" si="62"/>
        <v>1078.4383534132792</v>
      </c>
      <c r="M306" s="6">
        <f t="shared" si="56"/>
        <v>2.6908690442282093</v>
      </c>
      <c r="N306" s="6">
        <f t="shared" si="63"/>
        <v>1.9126419064895412</v>
      </c>
      <c r="O306" s="6">
        <f t="shared" si="64"/>
        <v>1102.4236968964506</v>
      </c>
      <c r="P306" s="6">
        <f>SUM($G$2:G306)</f>
        <v>2130.86205030973</v>
      </c>
      <c r="Q306" s="6">
        <f t="shared" si="65"/>
        <v>2378.4383534132794</v>
      </c>
      <c r="R306" s="6">
        <f t="shared" si="66"/>
        <v>2378.4383534132789</v>
      </c>
      <c r="S306" s="6">
        <f t="shared" si="67"/>
        <v>0</v>
      </c>
    </row>
    <row r="307" spans="5:19" x14ac:dyDescent="0.3">
      <c r="E307" s="2">
        <v>305</v>
      </c>
      <c r="F307" s="6">
        <f t="shared" si="55"/>
        <v>76.25</v>
      </c>
      <c r="G307" s="6">
        <f t="shared" si="57"/>
        <v>6.6941814309182366</v>
      </c>
      <c r="H307" s="6">
        <f t="shared" si="58"/>
        <v>534.95799137014569</v>
      </c>
      <c r="I307" s="6">
        <f t="shared" si="59"/>
        <v>6.6868836701168037</v>
      </c>
      <c r="J307" s="6">
        <f t="shared" si="60"/>
        <v>765.04200862985408</v>
      </c>
      <c r="K307" s="6">
        <f t="shared" si="61"/>
        <v>4.7815581649415968</v>
      </c>
      <c r="L307" s="6">
        <f t="shared" si="62"/>
        <v>1080.5238156946875</v>
      </c>
      <c r="M307" s="6">
        <f t="shared" si="56"/>
        <v>2.6960958835331978</v>
      </c>
      <c r="N307" s="6">
        <f t="shared" si="63"/>
        <v>1.9126232659766387</v>
      </c>
      <c r="O307" s="6">
        <f t="shared" si="64"/>
        <v>1107.0324160459604</v>
      </c>
      <c r="P307" s="6">
        <f>SUM($G$2:G307)</f>
        <v>2137.5562317406484</v>
      </c>
      <c r="Q307" s="6">
        <f t="shared" si="65"/>
        <v>2380.523815694688</v>
      </c>
      <c r="R307" s="6">
        <f t="shared" si="66"/>
        <v>2380.5238156946871</v>
      </c>
      <c r="S307" s="6">
        <f t="shared" si="67"/>
        <v>0</v>
      </c>
    </row>
    <row r="308" spans="5:19" x14ac:dyDescent="0.3">
      <c r="E308" s="2">
        <v>306</v>
      </c>
      <c r="F308" s="6">
        <f t="shared" si="55"/>
        <v>76.5</v>
      </c>
      <c r="G308" s="6">
        <f t="shared" si="57"/>
        <v>6.6941175755112239</v>
      </c>
      <c r="H308" s="6">
        <f t="shared" si="58"/>
        <v>534.96513405353005</v>
      </c>
      <c r="I308" s="6">
        <f t="shared" si="59"/>
        <v>6.6869748921268215</v>
      </c>
      <c r="J308" s="6">
        <f t="shared" si="60"/>
        <v>765.03486594646961</v>
      </c>
      <c r="K308" s="6">
        <f t="shared" si="61"/>
        <v>4.7815125539365884</v>
      </c>
      <c r="L308" s="6">
        <f t="shared" si="62"/>
        <v>1082.6040187093874</v>
      </c>
      <c r="M308" s="6">
        <f t="shared" si="56"/>
        <v>2.701309539236719</v>
      </c>
      <c r="N308" s="6">
        <f t="shared" si="63"/>
        <v>1.9126050215746353</v>
      </c>
      <c r="O308" s="6">
        <f t="shared" si="64"/>
        <v>1111.6463306067717</v>
      </c>
      <c r="P308" s="6">
        <f>SUM($G$2:G308)</f>
        <v>2144.2503493161598</v>
      </c>
      <c r="Q308" s="6">
        <f t="shared" si="65"/>
        <v>2382.6040187093881</v>
      </c>
      <c r="R308" s="6">
        <f t="shared" si="66"/>
        <v>2382.6040187093868</v>
      </c>
      <c r="S308" s="6">
        <f t="shared" si="67"/>
        <v>0</v>
      </c>
    </row>
    <row r="309" spans="5:19" x14ac:dyDescent="0.3">
      <c r="E309" s="2">
        <v>307</v>
      </c>
      <c r="F309" s="6">
        <f t="shared" si="55"/>
        <v>76.75</v>
      </c>
      <c r="G309" s="6">
        <f t="shared" si="57"/>
        <v>6.6940550770316101</v>
      </c>
      <c r="H309" s="6">
        <f t="shared" si="58"/>
        <v>534.97212495489248</v>
      </c>
      <c r="I309" s="6">
        <f t="shared" si="59"/>
        <v>6.6870641756691258</v>
      </c>
      <c r="J309" s="6">
        <f t="shared" si="60"/>
        <v>765.02787504510707</v>
      </c>
      <c r="K309" s="6">
        <f t="shared" si="61"/>
        <v>4.7814679121654349</v>
      </c>
      <c r="L309" s="6">
        <f t="shared" si="62"/>
        <v>1084.6789765747794</v>
      </c>
      <c r="M309" s="6">
        <f t="shared" si="56"/>
        <v>2.7065100467734688</v>
      </c>
      <c r="N309" s="6">
        <f t="shared" si="63"/>
        <v>1.9125871648661741</v>
      </c>
      <c r="O309" s="6">
        <f t="shared" si="64"/>
        <v>1116.2654278184114</v>
      </c>
      <c r="P309" s="6">
        <f>SUM($G$2:G309)</f>
        <v>2150.9444043931912</v>
      </c>
      <c r="Q309" s="6">
        <f t="shared" si="65"/>
        <v>2384.6789765747799</v>
      </c>
      <c r="R309" s="6">
        <f t="shared" si="66"/>
        <v>2384.678976574779</v>
      </c>
      <c r="S309" s="6">
        <f t="shared" si="67"/>
        <v>0</v>
      </c>
    </row>
    <row r="310" spans="5:19" x14ac:dyDescent="0.3">
      <c r="E310" s="2">
        <v>308</v>
      </c>
      <c r="F310" s="6">
        <f t="shared" si="55"/>
        <v>77</v>
      </c>
      <c r="G310" s="6">
        <f t="shared" si="57"/>
        <v>6.6939939066446872</v>
      </c>
      <c r="H310" s="6">
        <f t="shared" si="58"/>
        <v>534.97896729960098</v>
      </c>
      <c r="I310" s="6">
        <f t="shared" si="59"/>
        <v>6.6871515619361563</v>
      </c>
      <c r="J310" s="6">
        <f t="shared" si="60"/>
        <v>765.02103270039856</v>
      </c>
      <c r="K310" s="6">
        <f t="shared" si="61"/>
        <v>4.7814242190319192</v>
      </c>
      <c r="L310" s="6">
        <f t="shared" si="62"/>
        <v>1086.7487033523744</v>
      </c>
      <c r="M310" s="6">
        <f t="shared" si="56"/>
        <v>2.7116974414369488</v>
      </c>
      <c r="N310" s="6">
        <f t="shared" si="63"/>
        <v>1.9125696876127678</v>
      </c>
      <c r="O310" s="6">
        <f t="shared" si="64"/>
        <v>1120.8896949474611</v>
      </c>
      <c r="P310" s="6">
        <f>SUM($G$2:G310)</f>
        <v>2157.6383982998359</v>
      </c>
      <c r="Q310" s="6">
        <f t="shared" si="65"/>
        <v>2386.7487033523748</v>
      </c>
      <c r="R310" s="6">
        <f t="shared" si="66"/>
        <v>2386.7487033523739</v>
      </c>
      <c r="S310" s="6">
        <f t="shared" si="67"/>
        <v>0</v>
      </c>
    </row>
    <row r="311" spans="5:19" x14ac:dyDescent="0.3">
      <c r="E311" s="2">
        <v>309</v>
      </c>
      <c r="F311" s="6">
        <f t="shared" si="55"/>
        <v>77.25</v>
      </c>
      <c r="G311" s="6">
        <f t="shared" si="57"/>
        <v>6.6939340361284883</v>
      </c>
      <c r="H311" s="6">
        <f t="shared" si="58"/>
        <v>534.9856642444845</v>
      </c>
      <c r="I311" s="6">
        <f t="shared" si="59"/>
        <v>6.6872370912450121</v>
      </c>
      <c r="J311" s="6">
        <f t="shared" si="60"/>
        <v>765.01433575551505</v>
      </c>
      <c r="K311" s="6">
        <f t="shared" si="61"/>
        <v>4.7813814543774908</v>
      </c>
      <c r="L311" s="6">
        <f t="shared" si="62"/>
        <v>1088.8132130483709</v>
      </c>
      <c r="M311" s="6">
        <f t="shared" si="56"/>
        <v>2.7168717583809361</v>
      </c>
      <c r="N311" s="6">
        <f t="shared" si="63"/>
        <v>1.9125525817509965</v>
      </c>
      <c r="O311" s="6">
        <f t="shared" si="64"/>
        <v>1125.519119287593</v>
      </c>
      <c r="P311" s="6">
        <f>SUM($G$2:G311)</f>
        <v>2164.3323323359646</v>
      </c>
      <c r="Q311" s="6">
        <f t="shared" si="65"/>
        <v>2388.8132130483718</v>
      </c>
      <c r="R311" s="6">
        <f t="shared" si="66"/>
        <v>2388.8132130483705</v>
      </c>
      <c r="S311" s="6">
        <f t="shared" si="67"/>
        <v>0</v>
      </c>
    </row>
    <row r="312" spans="5:19" x14ac:dyDescent="0.3">
      <c r="E312" s="2">
        <v>310</v>
      </c>
      <c r="F312" s="6">
        <f t="shared" si="55"/>
        <v>77.5</v>
      </c>
      <c r="G312" s="6">
        <f t="shared" si="57"/>
        <v>6.6938754378607577</v>
      </c>
      <c r="H312" s="6">
        <f t="shared" si="58"/>
        <v>534.99221887928923</v>
      </c>
      <c r="I312" s="6">
        <f t="shared" si="59"/>
        <v>6.687320803056056</v>
      </c>
      <c r="J312" s="6">
        <f t="shared" si="60"/>
        <v>765.00778112071043</v>
      </c>
      <c r="K312" s="6">
        <f t="shared" si="61"/>
        <v>4.7813395984719689</v>
      </c>
      <c r="L312" s="6">
        <f t="shared" si="62"/>
        <v>1090.872519614222</v>
      </c>
      <c r="M312" s="6">
        <f t="shared" si="56"/>
        <v>2.7220330326209274</v>
      </c>
      <c r="N312" s="6">
        <f t="shared" si="63"/>
        <v>1.9125358393887877</v>
      </c>
      <c r="O312" s="6">
        <f t="shared" si="64"/>
        <v>1130.1536881596026</v>
      </c>
      <c r="P312" s="6">
        <f>SUM($G$2:G312)</f>
        <v>2171.0262077738253</v>
      </c>
      <c r="Q312" s="6">
        <f t="shared" si="65"/>
        <v>2390.8725196142227</v>
      </c>
      <c r="R312" s="6">
        <f t="shared" si="66"/>
        <v>2390.8725196142213</v>
      </c>
      <c r="S312" s="6">
        <f t="shared" si="67"/>
        <v>0</v>
      </c>
    </row>
    <row r="313" spans="5:19" x14ac:dyDescent="0.3">
      <c r="E313" s="2">
        <v>311</v>
      </c>
      <c r="F313" s="6">
        <f t="shared" si="55"/>
        <v>77.75</v>
      </c>
      <c r="G313" s="6">
        <f t="shared" si="57"/>
        <v>6.6938180848062165</v>
      </c>
      <c r="H313" s="6">
        <f t="shared" si="58"/>
        <v>534.99863422810438</v>
      </c>
      <c r="I313" s="6">
        <f t="shared" si="59"/>
        <v>6.6874027359911157</v>
      </c>
      <c r="J313" s="6">
        <f t="shared" si="60"/>
        <v>765.00136577189528</v>
      </c>
      <c r="K313" s="6">
        <f t="shared" si="61"/>
        <v>4.7812986320044404</v>
      </c>
      <c r="L313" s="6">
        <f t="shared" si="62"/>
        <v>1092.9266369471909</v>
      </c>
      <c r="M313" s="6">
        <f t="shared" si="56"/>
        <v>2.7271812990355553</v>
      </c>
      <c r="N313" s="6">
        <f t="shared" si="63"/>
        <v>1.9125194528017762</v>
      </c>
      <c r="O313" s="6">
        <f t="shared" si="64"/>
        <v>1134.7933889114397</v>
      </c>
      <c r="P313" s="6">
        <f>SUM($G$2:G313)</f>
        <v>2177.7200258586313</v>
      </c>
      <c r="Q313" s="6">
        <f t="shared" si="65"/>
        <v>2392.9266369471916</v>
      </c>
      <c r="R313" s="6">
        <f t="shared" si="66"/>
        <v>2392.9266369471907</v>
      </c>
      <c r="S313" s="6">
        <f t="shared" si="67"/>
        <v>0</v>
      </c>
    </row>
    <row r="314" spans="5:19" x14ac:dyDescent="0.3">
      <c r="E314" s="2">
        <v>312</v>
      </c>
      <c r="F314" s="6">
        <f t="shared" si="55"/>
        <v>78</v>
      </c>
      <c r="G314" s="6">
        <f t="shared" si="57"/>
        <v>6.6937619505040846</v>
      </c>
      <c r="H314" s="6">
        <f t="shared" si="58"/>
        <v>535.00491325075711</v>
      </c>
      <c r="I314" s="6">
        <f t="shared" si="59"/>
        <v>6.6874829278513044</v>
      </c>
      <c r="J314" s="6">
        <f t="shared" si="60"/>
        <v>764.99508674924255</v>
      </c>
      <c r="K314" s="6">
        <f t="shared" si="61"/>
        <v>4.7812585360743451</v>
      </c>
      <c r="L314" s="6">
        <f t="shared" si="62"/>
        <v>1094.9755788908972</v>
      </c>
      <c r="M314" s="6">
        <f t="shared" si="56"/>
        <v>2.7323165923679773</v>
      </c>
      <c r="N314" s="6">
        <f t="shared" si="63"/>
        <v>1.9125034144297381</v>
      </c>
      <c r="O314" s="6">
        <f t="shared" si="64"/>
        <v>1139.4382089182375</v>
      </c>
      <c r="P314" s="6">
        <f>SUM($G$2:G314)</f>
        <v>2184.4137878091356</v>
      </c>
      <c r="Q314" s="6">
        <f t="shared" si="65"/>
        <v>2394.9755788908979</v>
      </c>
      <c r="R314" s="6">
        <f t="shared" si="66"/>
        <v>2394.9755788908969</v>
      </c>
      <c r="S314" s="6">
        <f t="shared" si="67"/>
        <v>0</v>
      </c>
    </row>
    <row r="315" spans="5:19" x14ac:dyDescent="0.3">
      <c r="E315" s="2">
        <v>313</v>
      </c>
      <c r="F315" s="6">
        <f t="shared" si="55"/>
        <v>78.25</v>
      </c>
      <c r="G315" s="6">
        <f t="shared" si="57"/>
        <v>6.6937070090558732</v>
      </c>
      <c r="H315" s="6">
        <f t="shared" si="58"/>
        <v>535.01105884417848</v>
      </c>
      <c r="I315" s="6">
        <f t="shared" si="59"/>
        <v>6.6875614156344643</v>
      </c>
      <c r="J315" s="6">
        <f t="shared" si="60"/>
        <v>764.98894115582118</v>
      </c>
      <c r="K315" s="6">
        <f t="shared" si="61"/>
        <v>4.7812192921827661</v>
      </c>
      <c r="L315" s="6">
        <f t="shared" si="62"/>
        <v>1097.0193592358528</v>
      </c>
      <c r="M315" s="6">
        <f t="shared" si="56"/>
        <v>2.7374389472272429</v>
      </c>
      <c r="N315" s="6">
        <f t="shared" si="63"/>
        <v>1.9124877168731065</v>
      </c>
      <c r="O315" s="6">
        <f t="shared" si="64"/>
        <v>1144.0881355823378</v>
      </c>
      <c r="P315" s="6">
        <f>SUM($G$2:G315)</f>
        <v>2191.1074948181913</v>
      </c>
      <c r="Q315" s="6">
        <f t="shared" si="65"/>
        <v>2397.0193592358537</v>
      </c>
      <c r="R315" s="6">
        <f t="shared" si="66"/>
        <v>2397.0193592358523</v>
      </c>
      <c r="S315" s="6">
        <f t="shared" si="67"/>
        <v>0</v>
      </c>
    </row>
    <row r="316" spans="5:19" x14ac:dyDescent="0.3">
      <c r="E316" s="2">
        <v>314</v>
      </c>
      <c r="F316" s="6">
        <f t="shared" si="55"/>
        <v>78.5</v>
      </c>
      <c r="G316" s="6">
        <f t="shared" si="57"/>
        <v>6.6936532351134357</v>
      </c>
      <c r="H316" s="6">
        <f t="shared" si="58"/>
        <v>535.01707384373969</v>
      </c>
      <c r="I316" s="6">
        <f t="shared" si="59"/>
        <v>6.6876382355522308</v>
      </c>
      <c r="J316" s="6">
        <f t="shared" si="60"/>
        <v>764.98292615625985</v>
      </c>
      <c r="K316" s="6">
        <f t="shared" si="61"/>
        <v>4.7811808822238824</v>
      </c>
      <c r="L316" s="6">
        <f t="shared" si="62"/>
        <v>1099.0579917199871</v>
      </c>
      <c r="M316" s="6">
        <f t="shared" si="56"/>
        <v>2.7425483980896321</v>
      </c>
      <c r="N316" s="6">
        <f t="shared" si="63"/>
        <v>1.9124723528895531</v>
      </c>
      <c r="O316" s="6">
        <f t="shared" si="64"/>
        <v>1148.7431563333171</v>
      </c>
      <c r="P316" s="6">
        <f>SUM($G$2:G316)</f>
        <v>2197.8011480533046</v>
      </c>
      <c r="Q316" s="6">
        <f t="shared" si="65"/>
        <v>2399.0579917199875</v>
      </c>
      <c r="R316" s="6">
        <f t="shared" si="66"/>
        <v>2399.0579917199866</v>
      </c>
      <c r="S316" s="6">
        <f t="shared" si="67"/>
        <v>0</v>
      </c>
    </row>
    <row r="317" spans="5:19" x14ac:dyDescent="0.3">
      <c r="E317" s="2">
        <v>315</v>
      </c>
      <c r="F317" s="6">
        <f t="shared" si="55"/>
        <v>78.75</v>
      </c>
      <c r="G317" s="6">
        <f t="shared" si="57"/>
        <v>6.6936006038672744</v>
      </c>
      <c r="H317" s="6">
        <f t="shared" si="58"/>
        <v>535.02296102456023</v>
      </c>
      <c r="I317" s="6">
        <f t="shared" si="59"/>
        <v>6.6877134230467465</v>
      </c>
      <c r="J317" s="6">
        <f t="shared" si="60"/>
        <v>764.97703897543931</v>
      </c>
      <c r="K317" s="6">
        <f t="shared" si="61"/>
        <v>4.7811432884766241</v>
      </c>
      <c r="L317" s="6">
        <f t="shared" si="62"/>
        <v>1101.0914900291637</v>
      </c>
      <c r="M317" s="6">
        <f t="shared" si="56"/>
        <v>2.7476449792999675</v>
      </c>
      <c r="N317" s="6">
        <f t="shared" si="63"/>
        <v>1.9124573153906497</v>
      </c>
      <c r="O317" s="6">
        <f t="shared" si="64"/>
        <v>1153.4032586280077</v>
      </c>
      <c r="P317" s="6">
        <f>SUM($G$2:G317)</f>
        <v>2204.4947486571718</v>
      </c>
      <c r="Q317" s="6">
        <f t="shared" si="65"/>
        <v>2401.0914900291641</v>
      </c>
      <c r="R317" s="6">
        <f t="shared" si="66"/>
        <v>2401.0914900291632</v>
      </c>
      <c r="S317" s="6">
        <f t="shared" si="67"/>
        <v>0</v>
      </c>
    </row>
    <row r="318" spans="5:19" x14ac:dyDescent="0.3">
      <c r="E318" s="2">
        <v>316</v>
      </c>
      <c r="F318" s="6">
        <f t="shared" si="55"/>
        <v>79</v>
      </c>
      <c r="G318" s="6">
        <f t="shared" si="57"/>
        <v>6.693549091035095</v>
      </c>
      <c r="H318" s="6">
        <f t="shared" si="58"/>
        <v>535.02872310278838</v>
      </c>
      <c r="I318" s="6">
        <f t="shared" si="59"/>
        <v>6.6877870128070027</v>
      </c>
      <c r="J318" s="6">
        <f t="shared" si="60"/>
        <v>764.97127689721128</v>
      </c>
      <c r="K318" s="6">
        <f t="shared" si="61"/>
        <v>4.7811064935964955</v>
      </c>
      <c r="L318" s="6">
        <f t="shared" si="62"/>
        <v>1103.1198677976872</v>
      </c>
      <c r="M318" s="6">
        <f t="shared" si="56"/>
        <v>2.7527287250729091</v>
      </c>
      <c r="N318" s="6">
        <f t="shared" si="63"/>
        <v>1.9124425974385983</v>
      </c>
      <c r="O318" s="6">
        <f t="shared" si="64"/>
        <v>1158.0684299505192</v>
      </c>
      <c r="P318" s="6">
        <f>SUM($G$2:G318)</f>
        <v>2211.1882977482069</v>
      </c>
      <c r="Q318" s="6">
        <f t="shared" si="65"/>
        <v>2403.1198677976877</v>
      </c>
      <c r="R318" s="6">
        <f t="shared" si="66"/>
        <v>2403.1198677976868</v>
      </c>
      <c r="S318" s="6">
        <f t="shared" si="67"/>
        <v>0</v>
      </c>
    </row>
    <row r="319" spans="5:19" x14ac:dyDescent="0.3">
      <c r="E319" s="2">
        <v>317</v>
      </c>
      <c r="F319" s="6">
        <f t="shared" si="55"/>
        <v>79.25</v>
      </c>
      <c r="G319" s="6">
        <f t="shared" si="57"/>
        <v>6.6934986728505992</v>
      </c>
      <c r="H319" s="6">
        <f t="shared" si="58"/>
        <v>535.03436273685406</v>
      </c>
      <c r="I319" s="6">
        <f t="shared" si="59"/>
        <v>6.6878590387848549</v>
      </c>
      <c r="J319" s="6">
        <f t="shared" si="60"/>
        <v>764.96563726314548</v>
      </c>
      <c r="K319" s="6">
        <f t="shared" si="61"/>
        <v>4.7810704806075703</v>
      </c>
      <c r="L319" s="6">
        <f t="shared" si="62"/>
        <v>1105.1431386088007</v>
      </c>
      <c r="M319" s="6">
        <f t="shared" si="56"/>
        <v>2.7577996694942182</v>
      </c>
      <c r="N319" s="6">
        <f t="shared" si="63"/>
        <v>1.9124281922430282</v>
      </c>
      <c r="O319" s="6">
        <f t="shared" si="64"/>
        <v>1162.7386578122564</v>
      </c>
      <c r="P319" s="6">
        <f>SUM($G$2:G319)</f>
        <v>2217.8817964210575</v>
      </c>
      <c r="Q319" s="6">
        <f t="shared" si="65"/>
        <v>2405.1431386088011</v>
      </c>
      <c r="R319" s="6">
        <f t="shared" si="66"/>
        <v>2405.1431386088002</v>
      </c>
      <c r="S319" s="6">
        <f t="shared" si="67"/>
        <v>0</v>
      </c>
    </row>
    <row r="320" spans="5:19" x14ac:dyDescent="0.3">
      <c r="E320" s="2">
        <v>318</v>
      </c>
      <c r="F320" s="6">
        <f t="shared" si="55"/>
        <v>79.5</v>
      </c>
      <c r="G320" s="6">
        <f t="shared" si="57"/>
        <v>6.6934493260525239</v>
      </c>
      <c r="H320" s="6">
        <f t="shared" si="58"/>
        <v>535.0398825286959</v>
      </c>
      <c r="I320" s="6">
        <f t="shared" si="59"/>
        <v>6.6879295342106762</v>
      </c>
      <c r="J320" s="6">
        <f t="shared" si="60"/>
        <v>764.96011747130365</v>
      </c>
      <c r="K320" s="6">
        <f t="shared" si="61"/>
        <v>4.7810352328946593</v>
      </c>
      <c r="L320" s="6">
        <f t="shared" si="62"/>
        <v>1107.1613159951733</v>
      </c>
      <c r="M320" s="6">
        <f t="shared" si="56"/>
        <v>2.7628578465220017</v>
      </c>
      <c r="N320" s="6">
        <f t="shared" si="63"/>
        <v>1.9124140931578637</v>
      </c>
      <c r="O320" s="6">
        <f t="shared" si="64"/>
        <v>1167.4139297519362</v>
      </c>
      <c r="P320" s="6">
        <f>SUM($G$2:G320)</f>
        <v>2224.5752457471099</v>
      </c>
      <c r="Q320" s="6">
        <f t="shared" si="65"/>
        <v>2407.1613159951739</v>
      </c>
      <c r="R320" s="6">
        <f t="shared" si="66"/>
        <v>2407.161315995173</v>
      </c>
      <c r="S320" s="6">
        <f t="shared" si="67"/>
        <v>0</v>
      </c>
    </row>
    <row r="321" spans="5:19" x14ac:dyDescent="0.3">
      <c r="E321" s="2">
        <v>319</v>
      </c>
      <c r="F321" s="6">
        <f t="shared" si="55"/>
        <v>79.75</v>
      </c>
      <c r="G321" s="6">
        <f t="shared" si="57"/>
        <v>6.6934010278739073</v>
      </c>
      <c r="H321" s="6">
        <f t="shared" si="58"/>
        <v>535.04528502496112</v>
      </c>
      <c r="I321" s="6">
        <f t="shared" si="59"/>
        <v>6.6879985316086987</v>
      </c>
      <c r="J321" s="6">
        <f t="shared" si="60"/>
        <v>764.95471497503843</v>
      </c>
      <c r="K321" s="6">
        <f t="shared" si="61"/>
        <v>4.781000734195648</v>
      </c>
      <c r="L321" s="6">
        <f t="shared" si="62"/>
        <v>1109.1744134393809</v>
      </c>
      <c r="M321" s="6">
        <f t="shared" si="56"/>
        <v>2.7679032899879332</v>
      </c>
      <c r="N321" s="6">
        <f t="shared" si="63"/>
        <v>1.9124002936782591</v>
      </c>
      <c r="O321" s="6">
        <f t="shared" si="64"/>
        <v>1172.0942333356024</v>
      </c>
      <c r="P321" s="6">
        <f>SUM($G$2:G321)</f>
        <v>2231.2686467749836</v>
      </c>
      <c r="Q321" s="6">
        <f t="shared" si="65"/>
        <v>2409.1744134393812</v>
      </c>
      <c r="R321" s="6">
        <f t="shared" si="66"/>
        <v>2409.1744134393803</v>
      </c>
      <c r="S321" s="6">
        <f t="shared" si="67"/>
        <v>0</v>
      </c>
    </row>
    <row r="322" spans="5:19" x14ac:dyDescent="0.3">
      <c r="E322" s="2">
        <v>320</v>
      </c>
      <c r="F322" s="6">
        <f t="shared" ref="F322:F385" si="68">E322*$B$2</f>
        <v>80</v>
      </c>
      <c r="G322" s="6">
        <f t="shared" si="57"/>
        <v>6.6933537560315868</v>
      </c>
      <c r="H322" s="6">
        <f t="shared" si="58"/>
        <v>535.05057271818066</v>
      </c>
      <c r="I322" s="6">
        <f t="shared" si="59"/>
        <v>6.6880660628120143</v>
      </c>
      <c r="J322" s="6">
        <f t="shared" si="60"/>
        <v>764.94942728181877</v>
      </c>
      <c r="K322" s="6">
        <f t="shared" si="61"/>
        <v>4.7809669685939902</v>
      </c>
      <c r="L322" s="6">
        <f t="shared" si="62"/>
        <v>1111.1824443743765</v>
      </c>
      <c r="M322" s="6">
        <f t="shared" si="56"/>
        <v>2.7729360335984525</v>
      </c>
      <c r="N322" s="6">
        <f t="shared" si="63"/>
        <v>1.9123867874375962</v>
      </c>
      <c r="O322" s="6">
        <f t="shared" si="64"/>
        <v>1176.7795561566384</v>
      </c>
      <c r="P322" s="6">
        <f>SUM($G$2:G322)</f>
        <v>2237.9620005310153</v>
      </c>
      <c r="Q322" s="6">
        <f t="shared" si="65"/>
        <v>2411.1824443743772</v>
      </c>
      <c r="R322" s="6">
        <f t="shared" si="66"/>
        <v>2411.1824443743762</v>
      </c>
      <c r="S322" s="6">
        <f t="shared" si="67"/>
        <v>0</v>
      </c>
    </row>
    <row r="323" spans="5:19" x14ac:dyDescent="0.3">
      <c r="E323" s="2">
        <v>321</v>
      </c>
      <c r="F323" s="6">
        <f t="shared" si="68"/>
        <v>80.25</v>
      </c>
      <c r="G323" s="6">
        <f t="shared" si="57"/>
        <v>6.6933074887159147</v>
      </c>
      <c r="H323" s="6">
        <f t="shared" si="58"/>
        <v>535.05574804791934</v>
      </c>
      <c r="I323" s="6">
        <f t="shared" si="59"/>
        <v>6.6881321589772584</v>
      </c>
      <c r="J323" s="6">
        <f t="shared" si="60"/>
        <v>764.94425195208009</v>
      </c>
      <c r="K323" s="6">
        <f t="shared" si="61"/>
        <v>4.7809339205113677</v>
      </c>
      <c r="L323" s="6">
        <f t="shared" si="62"/>
        <v>1113.1854221839519</v>
      </c>
      <c r="M323" s="6">
        <f t="shared" ref="M323:M386" si="69">L322*$B$8*$B$2</f>
        <v>2.7779561109359414</v>
      </c>
      <c r="N323" s="6">
        <f t="shared" si="63"/>
        <v>1.9123735682045471</v>
      </c>
      <c r="O323" s="6">
        <f t="shared" si="64"/>
        <v>1181.469885835779</v>
      </c>
      <c r="P323" s="6">
        <f>SUM($G$2:G323)</f>
        <v>2244.6553080197314</v>
      </c>
      <c r="Q323" s="6">
        <f t="shared" si="65"/>
        <v>2413.1854221839521</v>
      </c>
      <c r="R323" s="6">
        <f t="shared" si="66"/>
        <v>2413.1854221839512</v>
      </c>
      <c r="S323" s="6">
        <f t="shared" si="67"/>
        <v>0</v>
      </c>
    </row>
    <row r="324" spans="5:19" x14ac:dyDescent="0.3">
      <c r="E324" s="2">
        <v>322</v>
      </c>
      <c r="F324" s="6">
        <f t="shared" si="68"/>
        <v>80.5</v>
      </c>
      <c r="G324" s="6">
        <f t="shared" ref="G324:G387" si="70">J323*$B$7*$B$2</f>
        <v>6.6932622045807015</v>
      </c>
      <c r="H324" s="6">
        <f t="shared" ref="H324:H387" si="71">H323+(G324-I324)</f>
        <v>535.0608134019011</v>
      </c>
      <c r="I324" s="6">
        <f t="shared" ref="I324:I387" si="72">H323*$B$2/$B$10</f>
        <v>6.6881968505989917</v>
      </c>
      <c r="J324" s="6">
        <f t="shared" ref="J324:J387" si="73">J323+I324-K324-N324</f>
        <v>764.93918659809833</v>
      </c>
      <c r="K324" s="6">
        <f t="shared" ref="K324:K387" si="74">J323*$B$2/$B$11</f>
        <v>4.7809015747005006</v>
      </c>
      <c r="L324" s="6">
        <f t="shared" ref="L324:L387" si="75">L323+(K324-M324)</f>
        <v>1115.1833602031925</v>
      </c>
      <c r="M324" s="6">
        <f t="shared" si="69"/>
        <v>2.7829635554598799</v>
      </c>
      <c r="N324" s="6">
        <f t="shared" ref="N324:N387" si="76">J323*$B$9*$B$2</f>
        <v>1.9123606298802003</v>
      </c>
      <c r="O324" s="6">
        <f t="shared" ref="O324:O387" si="77">O323+M324+N324</f>
        <v>1186.165210021119</v>
      </c>
      <c r="P324" s="6">
        <f>SUM($G$2:G324)</f>
        <v>2251.348570224312</v>
      </c>
      <c r="Q324" s="6">
        <f t="shared" ref="Q324:Q387" si="78">$B$3+P324-O324</f>
        <v>2415.1833602031929</v>
      </c>
      <c r="R324" s="6">
        <f t="shared" ref="R324:R387" si="79">H324+J324+L324</f>
        <v>2415.183360203192</v>
      </c>
      <c r="S324" s="6">
        <f t="shared" ref="S324:S387" si="80">Q324-R324</f>
        <v>0</v>
      </c>
    </row>
    <row r="325" spans="5:19" x14ac:dyDescent="0.3">
      <c r="E325" s="2">
        <v>323</v>
      </c>
      <c r="F325" s="6">
        <f t="shared" si="68"/>
        <v>80.75</v>
      </c>
      <c r="G325" s="6">
        <f t="shared" si="70"/>
        <v>6.6932178827333608</v>
      </c>
      <c r="H325" s="6">
        <f t="shared" si="71"/>
        <v>535.06577111711067</v>
      </c>
      <c r="I325" s="6">
        <f t="shared" si="72"/>
        <v>6.6882601675237634</v>
      </c>
      <c r="J325" s="6">
        <f t="shared" si="73"/>
        <v>764.93422888288876</v>
      </c>
      <c r="K325" s="6">
        <f t="shared" si="74"/>
        <v>4.7808699162381147</v>
      </c>
      <c r="L325" s="6">
        <f t="shared" si="75"/>
        <v>1117.1762717189226</v>
      </c>
      <c r="M325" s="6">
        <f t="shared" si="69"/>
        <v>2.7879584005079812</v>
      </c>
      <c r="N325" s="6">
        <f t="shared" si="76"/>
        <v>1.9123479664952459</v>
      </c>
      <c r="O325" s="6">
        <f t="shared" si="77"/>
        <v>1190.8655163881222</v>
      </c>
      <c r="P325" s="6">
        <f>SUM($G$2:G325)</f>
        <v>2258.0417881070452</v>
      </c>
      <c r="Q325" s="6">
        <f t="shared" si="78"/>
        <v>2417.1762717189231</v>
      </c>
      <c r="R325" s="6">
        <f t="shared" si="79"/>
        <v>2417.1762717189222</v>
      </c>
      <c r="S325" s="6">
        <f t="shared" si="80"/>
        <v>0</v>
      </c>
    </row>
    <row r="326" spans="5:19" x14ac:dyDescent="0.3">
      <c r="E326" s="2">
        <v>324</v>
      </c>
      <c r="F326" s="6">
        <f t="shared" si="68"/>
        <v>81</v>
      </c>
      <c r="G326" s="6">
        <f t="shared" si="70"/>
        <v>6.6931745027252774</v>
      </c>
      <c r="H326" s="6">
        <f t="shared" si="71"/>
        <v>535.07062348087209</v>
      </c>
      <c r="I326" s="6">
        <f t="shared" si="72"/>
        <v>6.6883221389638834</v>
      </c>
      <c r="J326" s="6">
        <f t="shared" si="73"/>
        <v>764.92937651912735</v>
      </c>
      <c r="K326" s="6">
        <f t="shared" si="74"/>
        <v>4.7808389305180548</v>
      </c>
      <c r="L326" s="6">
        <f t="shared" si="75"/>
        <v>1119.1641699701433</v>
      </c>
      <c r="M326" s="6">
        <f t="shared" si="69"/>
        <v>2.7929406792973066</v>
      </c>
      <c r="N326" s="6">
        <f t="shared" si="76"/>
        <v>1.9123355722072219</v>
      </c>
      <c r="O326" s="6">
        <f t="shared" si="77"/>
        <v>1195.5707926396267</v>
      </c>
      <c r="P326" s="6">
        <f>SUM($G$2:G326)</f>
        <v>2264.7349626097707</v>
      </c>
      <c r="Q326" s="6">
        <f t="shared" si="78"/>
        <v>2419.164169970144</v>
      </c>
      <c r="R326" s="6">
        <f t="shared" si="79"/>
        <v>2419.1641699701431</v>
      </c>
      <c r="S326" s="6">
        <f t="shared" si="80"/>
        <v>0</v>
      </c>
    </row>
    <row r="327" spans="5:19" x14ac:dyDescent="0.3">
      <c r="E327" s="2">
        <v>325</v>
      </c>
      <c r="F327" s="6">
        <f t="shared" si="68"/>
        <v>81.25</v>
      </c>
      <c r="G327" s="6">
        <f t="shared" si="70"/>
        <v>6.6931320445423648</v>
      </c>
      <c r="H327" s="6">
        <f t="shared" si="71"/>
        <v>535.0753727319036</v>
      </c>
      <c r="I327" s="6">
        <f t="shared" si="72"/>
        <v>6.6883827935109013</v>
      </c>
      <c r="J327" s="6">
        <f t="shared" si="73"/>
        <v>764.92462726809583</v>
      </c>
      <c r="K327" s="6">
        <f t="shared" si="74"/>
        <v>4.7808086032445463</v>
      </c>
      <c r="L327" s="6">
        <f t="shared" si="75"/>
        <v>1121.1470681484625</v>
      </c>
      <c r="M327" s="6">
        <f t="shared" si="69"/>
        <v>2.7979104249253584</v>
      </c>
      <c r="N327" s="6">
        <f t="shared" si="76"/>
        <v>1.9123234412978185</v>
      </c>
      <c r="O327" s="6">
        <f t="shared" si="77"/>
        <v>1200.2810265058497</v>
      </c>
      <c r="P327" s="6">
        <f>SUM($G$2:G327)</f>
        <v>2271.4280946543131</v>
      </c>
      <c r="Q327" s="6">
        <f t="shared" si="78"/>
        <v>2421.1470681484634</v>
      </c>
      <c r="R327" s="6">
        <f t="shared" si="79"/>
        <v>2421.147068148462</v>
      </c>
      <c r="S327" s="6">
        <f t="shared" si="80"/>
        <v>0</v>
      </c>
    </row>
    <row r="328" spans="5:19" x14ac:dyDescent="0.3">
      <c r="E328" s="2">
        <v>326</v>
      </c>
      <c r="F328" s="6">
        <f t="shared" si="68"/>
        <v>81.5</v>
      </c>
      <c r="G328" s="6">
        <f t="shared" si="70"/>
        <v>6.6930904885958391</v>
      </c>
      <c r="H328" s="6">
        <f t="shared" si="71"/>
        <v>535.08002106135064</v>
      </c>
      <c r="I328" s="6">
        <f t="shared" si="72"/>
        <v>6.6884421591487948</v>
      </c>
      <c r="J328" s="6">
        <f t="shared" si="73"/>
        <v>764.9199789386488</v>
      </c>
      <c r="K328" s="6">
        <f t="shared" si="74"/>
        <v>4.7807789204255986</v>
      </c>
      <c r="L328" s="6">
        <f t="shared" si="75"/>
        <v>1123.1249793985169</v>
      </c>
      <c r="M328" s="6">
        <f t="shared" si="69"/>
        <v>2.8028676703711564</v>
      </c>
      <c r="N328" s="6">
        <f t="shared" si="76"/>
        <v>1.9123115681702396</v>
      </c>
      <c r="O328" s="6">
        <f t="shared" si="77"/>
        <v>1204.9962057443911</v>
      </c>
      <c r="P328" s="6">
        <f>SUM($G$2:G328)</f>
        <v>2278.1211851429089</v>
      </c>
      <c r="Q328" s="6">
        <f t="shared" si="78"/>
        <v>2423.124979398518</v>
      </c>
      <c r="R328" s="6">
        <f t="shared" si="79"/>
        <v>2423.1249793985162</v>
      </c>
      <c r="S328" s="6">
        <f t="shared" si="80"/>
        <v>0</v>
      </c>
    </row>
    <row r="329" spans="5:19" x14ac:dyDescent="0.3">
      <c r="E329" s="2">
        <v>327</v>
      </c>
      <c r="F329" s="6">
        <f t="shared" si="68"/>
        <v>81.75</v>
      </c>
      <c r="G329" s="6">
        <f t="shared" si="70"/>
        <v>6.6930498157131773</v>
      </c>
      <c r="H329" s="6">
        <f t="shared" si="71"/>
        <v>535.08457061379693</v>
      </c>
      <c r="I329" s="6">
        <f t="shared" si="72"/>
        <v>6.6885002632668833</v>
      </c>
      <c r="J329" s="6">
        <f t="shared" si="73"/>
        <v>764.9154293862025</v>
      </c>
      <c r="K329" s="6">
        <f t="shared" si="74"/>
        <v>4.7807498683665548</v>
      </c>
      <c r="L329" s="6">
        <f t="shared" si="75"/>
        <v>1125.0979168183871</v>
      </c>
      <c r="M329" s="6">
        <f t="shared" si="69"/>
        <v>2.8078124484962923</v>
      </c>
      <c r="N329" s="6">
        <f t="shared" si="76"/>
        <v>1.912299947346622</v>
      </c>
      <c r="O329" s="6">
        <f t="shared" si="77"/>
        <v>1209.7163181402339</v>
      </c>
      <c r="P329" s="6">
        <f>SUM($G$2:G329)</f>
        <v>2284.8142349586219</v>
      </c>
      <c r="Q329" s="6">
        <f t="shared" si="78"/>
        <v>2425.0979168183881</v>
      </c>
      <c r="R329" s="6">
        <f t="shared" si="79"/>
        <v>2425.0979168183867</v>
      </c>
      <c r="S329" s="6">
        <f t="shared" si="80"/>
        <v>0</v>
      </c>
    </row>
    <row r="330" spans="5:19" x14ac:dyDescent="0.3">
      <c r="E330" s="2">
        <v>328</v>
      </c>
      <c r="F330" s="6">
        <f t="shared" si="68"/>
        <v>82</v>
      </c>
      <c r="G330" s="6">
        <f t="shared" si="70"/>
        <v>6.6930100071292724</v>
      </c>
      <c r="H330" s="6">
        <f t="shared" si="71"/>
        <v>535.0890234882537</v>
      </c>
      <c r="I330" s="6">
        <f t="shared" si="72"/>
        <v>6.6885571326724618</v>
      </c>
      <c r="J330" s="6">
        <f t="shared" si="73"/>
        <v>764.91097651174573</v>
      </c>
      <c r="K330" s="6">
        <f t="shared" si="74"/>
        <v>4.780721433663766</v>
      </c>
      <c r="L330" s="6">
        <f t="shared" si="75"/>
        <v>1127.0658934600049</v>
      </c>
      <c r="M330" s="6">
        <f t="shared" si="69"/>
        <v>2.8127447920459678</v>
      </c>
      <c r="N330" s="6">
        <f t="shared" si="76"/>
        <v>1.9122885734655064</v>
      </c>
      <c r="O330" s="6">
        <f t="shared" si="77"/>
        <v>1214.4413515057454</v>
      </c>
      <c r="P330" s="6">
        <f>SUM($G$2:G330)</f>
        <v>2291.5072449657514</v>
      </c>
      <c r="Q330" s="6">
        <f t="shared" si="78"/>
        <v>2427.065893460006</v>
      </c>
      <c r="R330" s="6">
        <f t="shared" si="79"/>
        <v>2427.0658934600042</v>
      </c>
      <c r="S330" s="6">
        <f t="shared" si="80"/>
        <v>0</v>
      </c>
    </row>
    <row r="331" spans="5:19" x14ac:dyDescent="0.3">
      <c r="E331" s="2">
        <v>329</v>
      </c>
      <c r="F331" s="6">
        <f t="shared" si="68"/>
        <v>82.25</v>
      </c>
      <c r="G331" s="6">
        <f t="shared" si="70"/>
        <v>6.6929710444777761</v>
      </c>
      <c r="H331" s="6">
        <f t="shared" si="71"/>
        <v>535.09338173912829</v>
      </c>
      <c r="I331" s="6">
        <f t="shared" si="72"/>
        <v>6.6886127936031716</v>
      </c>
      <c r="J331" s="6">
        <f t="shared" si="73"/>
        <v>764.90661826087114</v>
      </c>
      <c r="K331" s="6">
        <f t="shared" si="74"/>
        <v>4.7806936031984106</v>
      </c>
      <c r="L331" s="6">
        <f t="shared" si="75"/>
        <v>1129.0289223295533</v>
      </c>
      <c r="M331" s="6">
        <f t="shared" si="69"/>
        <v>2.817664733650012</v>
      </c>
      <c r="N331" s="6">
        <f t="shared" si="76"/>
        <v>1.9122774412793644</v>
      </c>
      <c r="O331" s="6">
        <f t="shared" si="77"/>
        <v>1219.1712936806748</v>
      </c>
      <c r="P331" s="6">
        <f>SUM($G$2:G331)</f>
        <v>2298.2002160102293</v>
      </c>
      <c r="Q331" s="6">
        <f t="shared" si="78"/>
        <v>2429.0289223295545</v>
      </c>
      <c r="R331" s="6">
        <f t="shared" si="79"/>
        <v>2429.0289223295531</v>
      </c>
      <c r="S331" s="6">
        <f t="shared" si="80"/>
        <v>0</v>
      </c>
    </row>
    <row r="332" spans="5:19" x14ac:dyDescent="0.3">
      <c r="E332" s="2">
        <v>330</v>
      </c>
      <c r="F332" s="6">
        <f t="shared" si="68"/>
        <v>82.5</v>
      </c>
      <c r="G332" s="6">
        <f t="shared" si="70"/>
        <v>6.6929329097826233</v>
      </c>
      <c r="H332" s="6">
        <f t="shared" si="71"/>
        <v>535.09764737717182</v>
      </c>
      <c r="I332" s="6">
        <f t="shared" si="72"/>
        <v>6.6886672717391038</v>
      </c>
      <c r="J332" s="6">
        <f t="shared" si="73"/>
        <v>764.90235262282761</v>
      </c>
      <c r="K332" s="6">
        <f t="shared" si="74"/>
        <v>4.780666364130445</v>
      </c>
      <c r="L332" s="6">
        <f t="shared" si="75"/>
        <v>1130.98701638786</v>
      </c>
      <c r="M332" s="6">
        <f t="shared" si="69"/>
        <v>2.8225723058238832</v>
      </c>
      <c r="N332" s="6">
        <f t="shared" si="76"/>
        <v>1.9122665456521779</v>
      </c>
      <c r="O332" s="6">
        <f t="shared" si="77"/>
        <v>1223.9061325321509</v>
      </c>
      <c r="P332" s="6">
        <f>SUM($G$2:G332)</f>
        <v>2304.8931489200118</v>
      </c>
      <c r="Q332" s="6">
        <f t="shared" si="78"/>
        <v>2430.9870163878609</v>
      </c>
      <c r="R332" s="6">
        <f t="shared" si="79"/>
        <v>2430.9870163878595</v>
      </c>
      <c r="S332" s="6">
        <f t="shared" si="80"/>
        <v>0</v>
      </c>
    </row>
    <row r="333" spans="5:19" x14ac:dyDescent="0.3">
      <c r="E333" s="2">
        <v>331</v>
      </c>
      <c r="F333" s="6">
        <f t="shared" si="68"/>
        <v>82.75</v>
      </c>
      <c r="G333" s="6">
        <f t="shared" si="70"/>
        <v>6.6928955854497421</v>
      </c>
      <c r="H333" s="6">
        <f t="shared" si="71"/>
        <v>535.10182237040692</v>
      </c>
      <c r="I333" s="6">
        <f t="shared" si="72"/>
        <v>6.688720592214648</v>
      </c>
      <c r="J333" s="6">
        <f t="shared" si="73"/>
        <v>764.89817762959251</v>
      </c>
      <c r="K333" s="6">
        <f t="shared" si="74"/>
        <v>4.7806397038926729</v>
      </c>
      <c r="L333" s="6">
        <f t="shared" si="75"/>
        <v>1132.940188550783</v>
      </c>
      <c r="M333" s="6">
        <f t="shared" si="69"/>
        <v>2.8274675409696499</v>
      </c>
      <c r="N333" s="6">
        <f t="shared" si="76"/>
        <v>1.9122558815570692</v>
      </c>
      <c r="O333" s="6">
        <f t="shared" si="77"/>
        <v>1228.6458559546775</v>
      </c>
      <c r="P333" s="6">
        <f>SUM($G$2:G333)</f>
        <v>2311.5860445054614</v>
      </c>
      <c r="Q333" s="6">
        <f t="shared" si="78"/>
        <v>2432.9401885507841</v>
      </c>
      <c r="R333" s="6">
        <f t="shared" si="79"/>
        <v>2432.9401885507823</v>
      </c>
      <c r="S333" s="6">
        <f t="shared" si="80"/>
        <v>0</v>
      </c>
    </row>
    <row r="334" spans="5:19" x14ac:dyDescent="0.3">
      <c r="E334" s="2">
        <v>332</v>
      </c>
      <c r="F334" s="6">
        <f t="shared" si="68"/>
        <v>83</v>
      </c>
      <c r="G334" s="6">
        <f t="shared" si="70"/>
        <v>6.6928590542589355</v>
      </c>
      <c r="H334" s="6">
        <f t="shared" si="71"/>
        <v>535.10590864503581</v>
      </c>
      <c r="I334" s="6">
        <f t="shared" si="72"/>
        <v>6.6887727796300869</v>
      </c>
      <c r="J334" s="6">
        <f t="shared" si="73"/>
        <v>764.89409135496373</v>
      </c>
      <c r="K334" s="6">
        <f t="shared" si="74"/>
        <v>4.780613610184953</v>
      </c>
      <c r="L334" s="6">
        <f t="shared" si="75"/>
        <v>1134.888451689591</v>
      </c>
      <c r="M334" s="6">
        <f t="shared" si="69"/>
        <v>2.8323504713769574</v>
      </c>
      <c r="N334" s="6">
        <f t="shared" si="76"/>
        <v>1.9122454440739813</v>
      </c>
      <c r="O334" s="6">
        <f t="shared" si="77"/>
        <v>1233.3904518701283</v>
      </c>
      <c r="P334" s="6">
        <f>SUM($G$2:G334)</f>
        <v>2318.2789035597202</v>
      </c>
      <c r="Q334" s="6">
        <f t="shared" si="78"/>
        <v>2434.8884516895919</v>
      </c>
      <c r="R334" s="6">
        <f t="shared" si="79"/>
        <v>2434.8884516895905</v>
      </c>
      <c r="S334" s="6">
        <f t="shared" si="80"/>
        <v>0</v>
      </c>
    </row>
    <row r="335" spans="5:19" x14ac:dyDescent="0.3">
      <c r="E335" s="2">
        <v>333</v>
      </c>
      <c r="F335" s="6">
        <f t="shared" si="68"/>
        <v>83.25</v>
      </c>
      <c r="G335" s="6">
        <f t="shared" si="70"/>
        <v>6.6928232993559336</v>
      </c>
      <c r="H335" s="6">
        <f t="shared" si="71"/>
        <v>535.1099080863288</v>
      </c>
      <c r="I335" s="6">
        <f t="shared" si="72"/>
        <v>6.688823858062948</v>
      </c>
      <c r="J335" s="6">
        <f t="shared" si="73"/>
        <v>764.89009191367074</v>
      </c>
      <c r="K335" s="6">
        <f t="shared" si="74"/>
        <v>4.7805880709685233</v>
      </c>
      <c r="L335" s="6">
        <f t="shared" si="75"/>
        <v>1136.8318186313354</v>
      </c>
      <c r="M335" s="6">
        <f t="shared" si="69"/>
        <v>2.8372211292239773</v>
      </c>
      <c r="N335" s="6">
        <f t="shared" si="76"/>
        <v>1.9122352283874093</v>
      </c>
      <c r="O335" s="6">
        <f t="shared" si="77"/>
        <v>1238.1399082277396</v>
      </c>
      <c r="P335" s="6">
        <f>SUM($G$2:G335)</f>
        <v>2324.9717268590762</v>
      </c>
      <c r="Q335" s="6">
        <f t="shared" si="78"/>
        <v>2436.8318186313363</v>
      </c>
      <c r="R335" s="6">
        <f t="shared" si="79"/>
        <v>2436.831818631335</v>
      </c>
      <c r="S335" s="6">
        <f t="shared" si="80"/>
        <v>0</v>
      </c>
    </row>
    <row r="336" spans="5:19" x14ac:dyDescent="0.3">
      <c r="E336" s="2">
        <v>334</v>
      </c>
      <c r="F336" s="6">
        <f t="shared" si="68"/>
        <v>83.5</v>
      </c>
      <c r="G336" s="6">
        <f t="shared" si="70"/>
        <v>6.6927883042446199</v>
      </c>
      <c r="H336" s="6">
        <f t="shared" si="71"/>
        <v>535.11382253949432</v>
      </c>
      <c r="I336" s="6">
        <f t="shared" si="72"/>
        <v>6.6888738510791104</v>
      </c>
      <c r="J336" s="6">
        <f t="shared" si="73"/>
        <v>764.88617746050522</v>
      </c>
      <c r="K336" s="6">
        <f t="shared" si="74"/>
        <v>4.7805630744604422</v>
      </c>
      <c r="L336" s="6">
        <f t="shared" si="75"/>
        <v>1138.7703021592174</v>
      </c>
      <c r="M336" s="6">
        <f t="shared" si="69"/>
        <v>2.8420795465783386</v>
      </c>
      <c r="N336" s="6">
        <f t="shared" si="76"/>
        <v>1.9122252297841769</v>
      </c>
      <c r="O336" s="6">
        <f t="shared" si="77"/>
        <v>1242.8942130041021</v>
      </c>
      <c r="P336" s="6">
        <f>SUM($G$2:G336)</f>
        <v>2331.6645151633206</v>
      </c>
      <c r="Q336" s="6">
        <f t="shared" si="78"/>
        <v>2438.7703021592188</v>
      </c>
      <c r="R336" s="6">
        <f t="shared" si="79"/>
        <v>2438.770302159217</v>
      </c>
      <c r="S336" s="6">
        <f t="shared" si="80"/>
        <v>0</v>
      </c>
    </row>
    <row r="337" spans="5:19" x14ac:dyDescent="0.3">
      <c r="E337" s="2">
        <v>335</v>
      </c>
      <c r="F337" s="6">
        <f t="shared" si="68"/>
        <v>83.75</v>
      </c>
      <c r="G337" s="6">
        <f t="shared" si="70"/>
        <v>6.6927540527794216</v>
      </c>
      <c r="H337" s="6">
        <f t="shared" si="71"/>
        <v>535.1176538105301</v>
      </c>
      <c r="I337" s="6">
        <f t="shared" si="72"/>
        <v>6.6889227817436794</v>
      </c>
      <c r="J337" s="6">
        <f t="shared" si="73"/>
        <v>764.88234618946956</v>
      </c>
      <c r="K337" s="6">
        <f t="shared" si="74"/>
        <v>4.7805386091281576</v>
      </c>
      <c r="L337" s="6">
        <f t="shared" si="75"/>
        <v>1140.7039150129476</v>
      </c>
      <c r="M337" s="6">
        <f t="shared" si="69"/>
        <v>2.8469257553980434</v>
      </c>
      <c r="N337" s="6">
        <f t="shared" si="76"/>
        <v>1.9122154436512631</v>
      </c>
      <c r="O337" s="6">
        <f t="shared" si="77"/>
        <v>1247.6533542031514</v>
      </c>
      <c r="P337" s="6">
        <f>SUM($G$2:G337)</f>
        <v>2338.3572692161001</v>
      </c>
      <c r="Q337" s="6">
        <f t="shared" si="78"/>
        <v>2440.7039150129485</v>
      </c>
      <c r="R337" s="6">
        <f t="shared" si="79"/>
        <v>2440.7039150129472</v>
      </c>
      <c r="S337" s="6">
        <f t="shared" si="80"/>
        <v>0</v>
      </c>
    </row>
    <row r="338" spans="5:19" x14ac:dyDescent="0.3">
      <c r="E338" s="2">
        <v>336</v>
      </c>
      <c r="F338" s="6">
        <f t="shared" si="68"/>
        <v>84</v>
      </c>
      <c r="G338" s="6">
        <f t="shared" si="70"/>
        <v>6.6927205291578593</v>
      </c>
      <c r="H338" s="6">
        <f t="shared" si="71"/>
        <v>535.12140366705637</v>
      </c>
      <c r="I338" s="6">
        <f t="shared" si="72"/>
        <v>6.6889706726316263</v>
      </c>
      <c r="J338" s="6">
        <f t="shared" si="73"/>
        <v>764.8785963329434</v>
      </c>
      <c r="K338" s="6">
        <f t="shared" si="74"/>
        <v>4.7805146636841851</v>
      </c>
      <c r="L338" s="6">
        <f t="shared" si="75"/>
        <v>1142.6326698890994</v>
      </c>
      <c r="M338" s="6">
        <f t="shared" si="69"/>
        <v>2.851759787532369</v>
      </c>
      <c r="N338" s="6">
        <f t="shared" si="76"/>
        <v>1.912205865473674</v>
      </c>
      <c r="O338" s="6">
        <f t="shared" si="77"/>
        <v>1252.4173198561573</v>
      </c>
      <c r="P338" s="6">
        <f>SUM($G$2:G338)</f>
        <v>2345.0499897452578</v>
      </c>
      <c r="Q338" s="6">
        <f t="shared" si="78"/>
        <v>2442.6326698891007</v>
      </c>
      <c r="R338" s="6">
        <f t="shared" si="79"/>
        <v>2442.6326698890989</v>
      </c>
      <c r="S338" s="6">
        <f t="shared" si="80"/>
        <v>0</v>
      </c>
    </row>
    <row r="339" spans="5:19" x14ac:dyDescent="0.3">
      <c r="E339" s="2">
        <v>337</v>
      </c>
      <c r="F339" s="6">
        <f t="shared" si="68"/>
        <v>84.25</v>
      </c>
      <c r="G339" s="6">
        <f t="shared" si="70"/>
        <v>6.6926877179132553</v>
      </c>
      <c r="H339" s="6">
        <f t="shared" si="71"/>
        <v>535.12507383913146</v>
      </c>
      <c r="I339" s="6">
        <f t="shared" si="72"/>
        <v>6.6890175458382046</v>
      </c>
      <c r="J339" s="6">
        <f t="shared" si="73"/>
        <v>764.87492616086831</v>
      </c>
      <c r="K339" s="6">
        <f t="shared" si="74"/>
        <v>4.7804912270808959</v>
      </c>
      <c r="L339" s="6">
        <f t="shared" si="75"/>
        <v>1144.5565794414574</v>
      </c>
      <c r="M339" s="6">
        <f t="shared" si="69"/>
        <v>2.8565816747227486</v>
      </c>
      <c r="N339" s="6">
        <f t="shared" si="76"/>
        <v>1.9121964908323585</v>
      </c>
      <c r="O339" s="6">
        <f t="shared" si="77"/>
        <v>1257.1860980217125</v>
      </c>
      <c r="P339" s="6">
        <f>SUM($G$2:G339)</f>
        <v>2351.7426774631708</v>
      </c>
      <c r="Q339" s="6">
        <f t="shared" si="78"/>
        <v>2444.5565794414583</v>
      </c>
      <c r="R339" s="6">
        <f t="shared" si="79"/>
        <v>2444.556579441457</v>
      </c>
      <c r="S339" s="6">
        <f t="shared" si="80"/>
        <v>0</v>
      </c>
    </row>
    <row r="340" spans="5:19" x14ac:dyDescent="0.3">
      <c r="E340" s="2">
        <v>338</v>
      </c>
      <c r="F340" s="6">
        <f t="shared" si="68"/>
        <v>84.5</v>
      </c>
      <c r="G340" s="6">
        <f t="shared" si="70"/>
        <v>6.6926556039075979</v>
      </c>
      <c r="H340" s="6">
        <f t="shared" si="71"/>
        <v>535.12866602004988</v>
      </c>
      <c r="I340" s="6">
        <f t="shared" si="72"/>
        <v>6.6890634229891432</v>
      </c>
      <c r="J340" s="6">
        <f t="shared" si="73"/>
        <v>764.8713339799499</v>
      </c>
      <c r="K340" s="6">
        <f t="shared" si="74"/>
        <v>4.7804682885054266</v>
      </c>
      <c r="L340" s="6">
        <f t="shared" si="75"/>
        <v>1146.4756562813593</v>
      </c>
      <c r="M340" s="6">
        <f t="shared" si="69"/>
        <v>2.8613914486036438</v>
      </c>
      <c r="N340" s="6">
        <f t="shared" si="76"/>
        <v>1.9121873154021709</v>
      </c>
      <c r="O340" s="6">
        <f t="shared" si="77"/>
        <v>1261.9596767857183</v>
      </c>
      <c r="P340" s="6">
        <f>SUM($G$2:G340)</f>
        <v>2358.4353330670783</v>
      </c>
      <c r="Q340" s="6">
        <f t="shared" si="78"/>
        <v>2446.47565628136</v>
      </c>
      <c r="R340" s="6">
        <f t="shared" si="79"/>
        <v>2446.4756562813591</v>
      </c>
      <c r="S340" s="6">
        <f t="shared" si="80"/>
        <v>0</v>
      </c>
    </row>
    <row r="341" spans="5:19" x14ac:dyDescent="0.3">
      <c r="E341" s="2">
        <v>339</v>
      </c>
      <c r="F341" s="6">
        <f t="shared" si="68"/>
        <v>84.75</v>
      </c>
      <c r="G341" s="6">
        <f t="shared" si="70"/>
        <v>6.6926241723245621</v>
      </c>
      <c r="H341" s="6">
        <f t="shared" si="71"/>
        <v>535.13218186712379</v>
      </c>
      <c r="I341" s="6">
        <f t="shared" si="72"/>
        <v>6.6891083252506238</v>
      </c>
      <c r="J341" s="6">
        <f t="shared" si="73"/>
        <v>764.86781813287587</v>
      </c>
      <c r="K341" s="6">
        <f t="shared" si="74"/>
        <v>4.7804458373746872</v>
      </c>
      <c r="L341" s="6">
        <f t="shared" si="75"/>
        <v>1148.3899129780307</v>
      </c>
      <c r="M341" s="6">
        <f t="shared" si="69"/>
        <v>2.8661891407033981</v>
      </c>
      <c r="N341" s="6">
        <f t="shared" si="76"/>
        <v>1.9121783349498749</v>
      </c>
      <c r="O341" s="6">
        <f t="shared" si="77"/>
        <v>1266.7380442613717</v>
      </c>
      <c r="P341" s="6">
        <f>SUM($G$2:G341)</f>
        <v>2365.1279572394028</v>
      </c>
      <c r="Q341" s="6">
        <f t="shared" si="78"/>
        <v>2448.3899129780311</v>
      </c>
      <c r="R341" s="6">
        <f t="shared" si="79"/>
        <v>2448.3899129780302</v>
      </c>
      <c r="S341" s="6">
        <f t="shared" si="80"/>
        <v>0</v>
      </c>
    </row>
    <row r="342" spans="5:19" x14ac:dyDescent="0.3">
      <c r="E342" s="2">
        <v>340</v>
      </c>
      <c r="F342" s="6">
        <f t="shared" si="68"/>
        <v>85</v>
      </c>
      <c r="G342" s="6">
        <f t="shared" si="70"/>
        <v>6.6925934086626642</v>
      </c>
      <c r="H342" s="6">
        <f t="shared" si="71"/>
        <v>535.13562300244746</v>
      </c>
      <c r="I342" s="6">
        <f t="shared" si="72"/>
        <v>6.6891522733390474</v>
      </c>
      <c r="J342" s="6">
        <f t="shared" si="73"/>
        <v>764.8643769975522</v>
      </c>
      <c r="K342" s="6">
        <f t="shared" si="74"/>
        <v>4.7804238633304745</v>
      </c>
      <c r="L342" s="6">
        <f t="shared" si="75"/>
        <v>1150.2993620589161</v>
      </c>
      <c r="M342" s="6">
        <f t="shared" si="69"/>
        <v>2.8709747824450766</v>
      </c>
      <c r="N342" s="6">
        <f t="shared" si="76"/>
        <v>1.9121695453321896</v>
      </c>
      <c r="O342" s="6">
        <f t="shared" si="77"/>
        <v>1271.521188589149</v>
      </c>
      <c r="P342" s="6">
        <f>SUM($G$2:G342)</f>
        <v>2371.8205506480654</v>
      </c>
      <c r="Q342" s="6">
        <f t="shared" si="78"/>
        <v>2450.2993620589164</v>
      </c>
      <c r="R342" s="6">
        <f t="shared" si="79"/>
        <v>2450.2993620589159</v>
      </c>
      <c r="S342" s="6">
        <f t="shared" si="80"/>
        <v>0</v>
      </c>
    </row>
    <row r="343" spans="5:19" x14ac:dyDescent="0.3">
      <c r="E343" s="2">
        <v>341</v>
      </c>
      <c r="F343" s="6">
        <f t="shared" si="68"/>
        <v>85.25</v>
      </c>
      <c r="G343" s="6">
        <f t="shared" si="70"/>
        <v>6.6925632987285821</v>
      </c>
      <c r="H343" s="6">
        <f t="shared" si="71"/>
        <v>535.13899101364541</v>
      </c>
      <c r="I343" s="6">
        <f t="shared" si="72"/>
        <v>6.6891952875305929</v>
      </c>
      <c r="J343" s="6">
        <f t="shared" si="73"/>
        <v>764.86100898635414</v>
      </c>
      <c r="K343" s="6">
        <f t="shared" si="74"/>
        <v>4.7804023562347009</v>
      </c>
      <c r="L343" s="6">
        <f t="shared" si="75"/>
        <v>1152.2040160100034</v>
      </c>
      <c r="M343" s="6">
        <f t="shared" si="69"/>
        <v>2.8757484051472906</v>
      </c>
      <c r="N343" s="6">
        <f t="shared" si="76"/>
        <v>1.9121609424938806</v>
      </c>
      <c r="O343" s="6">
        <f t="shared" si="77"/>
        <v>1276.3090979367903</v>
      </c>
      <c r="P343" s="6">
        <f>SUM($G$2:G343)</f>
        <v>2378.513113946794</v>
      </c>
      <c r="Q343" s="6">
        <f t="shared" si="78"/>
        <v>2452.2040160100037</v>
      </c>
      <c r="R343" s="6">
        <f t="shared" si="79"/>
        <v>2452.2040160100032</v>
      </c>
      <c r="S343" s="6">
        <f t="shared" si="80"/>
        <v>0</v>
      </c>
    </row>
    <row r="344" spans="5:19" x14ac:dyDescent="0.3">
      <c r="E344" s="2">
        <v>342</v>
      </c>
      <c r="F344" s="6">
        <f t="shared" si="68"/>
        <v>85.5</v>
      </c>
      <c r="G344" s="6">
        <f t="shared" si="70"/>
        <v>6.6925338286305998</v>
      </c>
      <c r="H344" s="6">
        <f t="shared" si="71"/>
        <v>535.14228745460548</v>
      </c>
      <c r="I344" s="6">
        <f t="shared" si="72"/>
        <v>6.689237387670568</v>
      </c>
      <c r="J344" s="6">
        <f t="shared" si="73"/>
        <v>764.85771254539407</v>
      </c>
      <c r="K344" s="6">
        <f t="shared" si="74"/>
        <v>4.7803813061647134</v>
      </c>
      <c r="L344" s="6">
        <f t="shared" si="75"/>
        <v>1154.103887276143</v>
      </c>
      <c r="M344" s="6">
        <f t="shared" si="69"/>
        <v>2.8805100400250088</v>
      </c>
      <c r="N344" s="6">
        <f t="shared" si="76"/>
        <v>1.9121525224658853</v>
      </c>
      <c r="O344" s="6">
        <f t="shared" si="77"/>
        <v>1281.1017604992812</v>
      </c>
      <c r="P344" s="6">
        <f>SUM($G$2:G344)</f>
        <v>2385.2056477754245</v>
      </c>
      <c r="Q344" s="6">
        <f t="shared" si="78"/>
        <v>2454.1038872761433</v>
      </c>
      <c r="R344" s="6">
        <f t="shared" si="79"/>
        <v>2454.1038872761428</v>
      </c>
      <c r="S344" s="6">
        <f t="shared" si="80"/>
        <v>0</v>
      </c>
    </row>
    <row r="345" spans="5:19" x14ac:dyDescent="0.3">
      <c r="E345" s="2">
        <v>343</v>
      </c>
      <c r="F345" s="6">
        <f t="shared" si="68"/>
        <v>85.75</v>
      </c>
      <c r="G345" s="6">
        <f t="shared" si="70"/>
        <v>6.6925049847721985</v>
      </c>
      <c r="H345" s="6">
        <f t="shared" si="71"/>
        <v>535.14551384619506</v>
      </c>
      <c r="I345" s="6">
        <f t="shared" si="72"/>
        <v>6.6892785931825687</v>
      </c>
      <c r="J345" s="6">
        <f t="shared" si="73"/>
        <v>764.85448615380449</v>
      </c>
      <c r="K345" s="6">
        <f t="shared" si="74"/>
        <v>4.7803607034087126</v>
      </c>
      <c r="L345" s="6">
        <f t="shared" si="75"/>
        <v>1155.9989882613613</v>
      </c>
      <c r="M345" s="6">
        <f t="shared" si="69"/>
        <v>2.8852597181903579</v>
      </c>
      <c r="N345" s="6">
        <f t="shared" si="76"/>
        <v>1.9121442813634852</v>
      </c>
      <c r="O345" s="6">
        <f t="shared" si="77"/>
        <v>1285.899164498835</v>
      </c>
      <c r="P345" s="6">
        <f>SUM($G$2:G345)</f>
        <v>2391.8981527601968</v>
      </c>
      <c r="Q345" s="6">
        <f t="shared" si="78"/>
        <v>2455.9989882613618</v>
      </c>
      <c r="R345" s="6">
        <f t="shared" si="79"/>
        <v>2455.9989882613609</v>
      </c>
      <c r="S345" s="6">
        <f t="shared" si="80"/>
        <v>0</v>
      </c>
    </row>
    <row r="346" spans="5:19" x14ac:dyDescent="0.3">
      <c r="E346" s="2">
        <v>344</v>
      </c>
      <c r="F346" s="6">
        <f t="shared" si="68"/>
        <v>86</v>
      </c>
      <c r="G346" s="6">
        <f t="shared" si="70"/>
        <v>6.6924767538457903</v>
      </c>
      <c r="H346" s="6">
        <f t="shared" si="71"/>
        <v>535.14867167696343</v>
      </c>
      <c r="I346" s="6">
        <f t="shared" si="72"/>
        <v>6.6893189230774386</v>
      </c>
      <c r="J346" s="6">
        <f t="shared" si="73"/>
        <v>764.85132832303611</v>
      </c>
      <c r="K346" s="6">
        <f t="shared" si="74"/>
        <v>4.780340538461278</v>
      </c>
      <c r="L346" s="6">
        <f t="shared" si="75"/>
        <v>1157.8893313291692</v>
      </c>
      <c r="M346" s="6">
        <f t="shared" si="69"/>
        <v>2.8899974706534035</v>
      </c>
      <c r="N346" s="6">
        <f t="shared" si="76"/>
        <v>1.9121362153845112</v>
      </c>
      <c r="O346" s="6">
        <f t="shared" si="77"/>
        <v>1290.7012981848729</v>
      </c>
      <c r="P346" s="6">
        <f>SUM($G$2:G346)</f>
        <v>2398.5906295140426</v>
      </c>
      <c r="Q346" s="6">
        <f t="shared" si="78"/>
        <v>2457.8893313291696</v>
      </c>
      <c r="R346" s="6">
        <f t="shared" si="79"/>
        <v>2457.8893313291687</v>
      </c>
      <c r="S346" s="6">
        <f t="shared" si="80"/>
        <v>0</v>
      </c>
    </row>
    <row r="347" spans="5:19" x14ac:dyDescent="0.3">
      <c r="E347" s="2">
        <v>345</v>
      </c>
      <c r="F347" s="6">
        <f t="shared" si="68"/>
        <v>86.25</v>
      </c>
      <c r="G347" s="6">
        <f t="shared" si="70"/>
        <v>6.6924491228265666</v>
      </c>
      <c r="H347" s="6">
        <f t="shared" si="71"/>
        <v>535.151762403828</v>
      </c>
      <c r="I347" s="6">
        <f t="shared" si="72"/>
        <v>6.6893583959620431</v>
      </c>
      <c r="J347" s="6">
        <f t="shared" si="73"/>
        <v>764.84823759617154</v>
      </c>
      <c r="K347" s="6">
        <f t="shared" si="74"/>
        <v>4.7803208020189754</v>
      </c>
      <c r="L347" s="6">
        <f t="shared" si="75"/>
        <v>1159.7749288028651</v>
      </c>
      <c r="M347" s="6">
        <f t="shared" si="69"/>
        <v>2.894723328322923</v>
      </c>
      <c r="N347" s="6">
        <f t="shared" si="76"/>
        <v>1.9121283208075903</v>
      </c>
      <c r="O347" s="6">
        <f t="shared" si="77"/>
        <v>1295.5081498340035</v>
      </c>
      <c r="P347" s="6">
        <f>SUM($G$2:G347)</f>
        <v>2405.283078636869</v>
      </c>
      <c r="Q347" s="6">
        <f t="shared" si="78"/>
        <v>2459.7749288028654</v>
      </c>
      <c r="R347" s="6">
        <f t="shared" si="79"/>
        <v>2459.7749288028645</v>
      </c>
      <c r="S347" s="6">
        <f t="shared" si="80"/>
        <v>0</v>
      </c>
    </row>
    <row r="348" spans="5:19" x14ac:dyDescent="0.3">
      <c r="E348" s="2">
        <v>346</v>
      </c>
      <c r="F348" s="6">
        <f t="shared" si="68"/>
        <v>86.5</v>
      </c>
      <c r="G348" s="6">
        <f t="shared" si="70"/>
        <v>6.6924220789665014</v>
      </c>
      <c r="H348" s="6">
        <f t="shared" si="71"/>
        <v>535.15478745274663</v>
      </c>
      <c r="I348" s="6">
        <f t="shared" si="72"/>
        <v>6.68939703004785</v>
      </c>
      <c r="J348" s="6">
        <f t="shared" si="73"/>
        <v>764.84521254725291</v>
      </c>
      <c r="K348" s="6">
        <f t="shared" si="74"/>
        <v>4.7803014849760723</v>
      </c>
      <c r="L348" s="6">
        <f t="shared" si="75"/>
        <v>1161.6557929658341</v>
      </c>
      <c r="M348" s="6">
        <f t="shared" si="69"/>
        <v>2.899437322007163</v>
      </c>
      <c r="N348" s="6">
        <f t="shared" si="76"/>
        <v>1.9121205939904289</v>
      </c>
      <c r="O348" s="6">
        <f t="shared" si="77"/>
        <v>1300.319707750001</v>
      </c>
      <c r="P348" s="6">
        <f>SUM($G$2:G348)</f>
        <v>2411.9755007158356</v>
      </c>
      <c r="Q348" s="6">
        <f t="shared" si="78"/>
        <v>2461.6557929658347</v>
      </c>
      <c r="R348" s="6">
        <f t="shared" si="79"/>
        <v>2461.6557929658338</v>
      </c>
      <c r="S348" s="6">
        <f t="shared" si="80"/>
        <v>0</v>
      </c>
    </row>
    <row r="349" spans="5:19" x14ac:dyDescent="0.3">
      <c r="E349" s="2">
        <v>347</v>
      </c>
      <c r="F349" s="6">
        <f t="shared" si="68"/>
        <v>86.75</v>
      </c>
      <c r="G349" s="6">
        <f t="shared" si="70"/>
        <v>6.6923956097884636</v>
      </c>
      <c r="H349" s="6">
        <f t="shared" si="71"/>
        <v>535.15774821937578</v>
      </c>
      <c r="I349" s="6">
        <f t="shared" si="72"/>
        <v>6.6894348431593329</v>
      </c>
      <c r="J349" s="6">
        <f t="shared" si="73"/>
        <v>764.84225178062377</v>
      </c>
      <c r="K349" s="6">
        <f t="shared" si="74"/>
        <v>4.7802825784203309</v>
      </c>
      <c r="L349" s="6">
        <f t="shared" si="75"/>
        <v>1163.5319360618398</v>
      </c>
      <c r="M349" s="6">
        <f t="shared" si="69"/>
        <v>2.904139482414585</v>
      </c>
      <c r="N349" s="6">
        <f t="shared" si="76"/>
        <v>1.9121130313681323</v>
      </c>
      <c r="O349" s="6">
        <f t="shared" si="77"/>
        <v>1305.1359602637838</v>
      </c>
      <c r="P349" s="6">
        <f>SUM($G$2:G349)</f>
        <v>2418.667896325624</v>
      </c>
      <c r="Q349" s="6">
        <f t="shared" si="78"/>
        <v>2463.5319360618405</v>
      </c>
      <c r="R349" s="6">
        <f t="shared" si="79"/>
        <v>2463.5319360618396</v>
      </c>
      <c r="S349" s="6">
        <f t="shared" si="80"/>
        <v>0</v>
      </c>
    </row>
    <row r="350" spans="5:19" x14ac:dyDescent="0.3">
      <c r="E350" s="2">
        <v>348</v>
      </c>
      <c r="F350" s="6">
        <f t="shared" si="68"/>
        <v>87</v>
      </c>
      <c r="G350" s="6">
        <f t="shared" si="70"/>
        <v>6.692369703080459</v>
      </c>
      <c r="H350" s="6">
        <f t="shared" si="71"/>
        <v>535.16064606971406</v>
      </c>
      <c r="I350" s="6">
        <f t="shared" si="72"/>
        <v>6.689471852742197</v>
      </c>
      <c r="J350" s="6">
        <f t="shared" si="73"/>
        <v>764.83935393028548</v>
      </c>
      <c r="K350" s="6">
        <f t="shared" si="74"/>
        <v>4.7802640736288984</v>
      </c>
      <c r="L350" s="6">
        <f t="shared" si="75"/>
        <v>1165.4033702953141</v>
      </c>
      <c r="M350" s="6">
        <f t="shared" si="69"/>
        <v>2.9088298401545996</v>
      </c>
      <c r="N350" s="6">
        <f t="shared" si="76"/>
        <v>1.9121056294515595</v>
      </c>
      <c r="O350" s="6">
        <f t="shared" si="77"/>
        <v>1309.95689573339</v>
      </c>
      <c r="P350" s="6">
        <f>SUM($G$2:G350)</f>
        <v>2425.3602660287047</v>
      </c>
      <c r="Q350" s="6">
        <f t="shared" si="78"/>
        <v>2465.4033702953147</v>
      </c>
      <c r="R350" s="6">
        <f t="shared" si="79"/>
        <v>2465.4033702953138</v>
      </c>
      <c r="S350" s="6">
        <f t="shared" si="80"/>
        <v>0</v>
      </c>
    </row>
    <row r="351" spans="5:19" x14ac:dyDescent="0.3">
      <c r="E351" s="2">
        <v>349</v>
      </c>
      <c r="F351" s="6">
        <f t="shared" si="68"/>
        <v>87.25</v>
      </c>
      <c r="G351" s="6">
        <f t="shared" si="70"/>
        <v>6.6923443468899988</v>
      </c>
      <c r="H351" s="6">
        <f t="shared" si="71"/>
        <v>535.16348234073268</v>
      </c>
      <c r="I351" s="6">
        <f t="shared" si="72"/>
        <v>6.6895080758714256</v>
      </c>
      <c r="J351" s="6">
        <f t="shared" si="73"/>
        <v>764.83651765926686</v>
      </c>
      <c r="K351" s="6">
        <f t="shared" si="74"/>
        <v>4.7802459620642841</v>
      </c>
      <c r="L351" s="6">
        <f t="shared" si="75"/>
        <v>1167.27010783164</v>
      </c>
      <c r="M351" s="6">
        <f t="shared" si="69"/>
        <v>2.9135084257382853</v>
      </c>
      <c r="N351" s="6">
        <f t="shared" si="76"/>
        <v>1.9120983848257138</v>
      </c>
      <c r="O351" s="6">
        <f t="shared" si="77"/>
        <v>1314.7825025439538</v>
      </c>
      <c r="P351" s="6">
        <f>SUM($G$2:G351)</f>
        <v>2432.0526103755947</v>
      </c>
      <c r="Q351" s="6">
        <f t="shared" si="78"/>
        <v>2467.2701078316409</v>
      </c>
      <c r="R351" s="6">
        <f t="shared" si="79"/>
        <v>2467.2701078316395</v>
      </c>
      <c r="S351" s="6">
        <f t="shared" si="80"/>
        <v>0</v>
      </c>
    </row>
    <row r="352" spans="5:19" x14ac:dyDescent="0.3">
      <c r="E352" s="2">
        <v>350</v>
      </c>
      <c r="F352" s="6">
        <f t="shared" si="68"/>
        <v>87.5</v>
      </c>
      <c r="G352" s="6">
        <f t="shared" si="70"/>
        <v>6.6923195295185858</v>
      </c>
      <c r="H352" s="6">
        <f t="shared" si="71"/>
        <v>535.16625834099216</v>
      </c>
      <c r="I352" s="6">
        <f t="shared" si="72"/>
        <v>6.6895435292591587</v>
      </c>
      <c r="J352" s="6">
        <f t="shared" si="73"/>
        <v>764.8337416590075</v>
      </c>
      <c r="K352" s="6">
        <f t="shared" si="74"/>
        <v>4.7802282353704175</v>
      </c>
      <c r="L352" s="6">
        <f t="shared" si="75"/>
        <v>1169.1321607974312</v>
      </c>
      <c r="M352" s="6">
        <f t="shared" si="69"/>
        <v>2.9181752695791001</v>
      </c>
      <c r="N352" s="6">
        <f t="shared" si="76"/>
        <v>1.9120912941481671</v>
      </c>
      <c r="O352" s="6">
        <f t="shared" si="77"/>
        <v>1319.6127691076811</v>
      </c>
      <c r="P352" s="6">
        <f>SUM($G$2:G352)</f>
        <v>2438.7449299051132</v>
      </c>
      <c r="Q352" s="6">
        <f t="shared" si="78"/>
        <v>2469.1321607974323</v>
      </c>
      <c r="R352" s="6">
        <f t="shared" si="79"/>
        <v>2469.1321607974305</v>
      </c>
      <c r="S352" s="6">
        <f t="shared" si="80"/>
        <v>0</v>
      </c>
    </row>
    <row r="353" spans="5:19" x14ac:dyDescent="0.3">
      <c r="E353" s="2">
        <v>351</v>
      </c>
      <c r="F353" s="6">
        <f t="shared" si="68"/>
        <v>87.75</v>
      </c>
      <c r="G353" s="6">
        <f t="shared" si="70"/>
        <v>6.6922952395163167</v>
      </c>
      <c r="H353" s="6">
        <f t="shared" si="71"/>
        <v>535.1689753512461</v>
      </c>
      <c r="I353" s="6">
        <f t="shared" si="72"/>
        <v>6.689578229262402</v>
      </c>
      <c r="J353" s="6">
        <f t="shared" si="73"/>
        <v>764.83102464875367</v>
      </c>
      <c r="K353" s="6">
        <f t="shared" si="74"/>
        <v>4.7802108853687972</v>
      </c>
      <c r="L353" s="6">
        <f t="shared" si="75"/>
        <v>1170.9895412808064</v>
      </c>
      <c r="M353" s="6">
        <f t="shared" si="69"/>
        <v>2.9228304019935782</v>
      </c>
      <c r="N353" s="6">
        <f t="shared" si="76"/>
        <v>1.9120843541475188</v>
      </c>
      <c r="O353" s="6">
        <f t="shared" si="77"/>
        <v>1324.4476838638222</v>
      </c>
      <c r="P353" s="6">
        <f>SUM($G$2:G353)</f>
        <v>2445.4372251446293</v>
      </c>
      <c r="Q353" s="6">
        <f t="shared" si="78"/>
        <v>2470.9895412808073</v>
      </c>
      <c r="R353" s="6">
        <f t="shared" si="79"/>
        <v>2470.9895412808064</v>
      </c>
      <c r="S353" s="6">
        <f t="shared" si="80"/>
        <v>0</v>
      </c>
    </row>
    <row r="354" spans="5:19" x14ac:dyDescent="0.3">
      <c r="E354" s="2">
        <v>352</v>
      </c>
      <c r="F354" s="6">
        <f t="shared" si="68"/>
        <v>88</v>
      </c>
      <c r="G354" s="6">
        <f t="shared" si="70"/>
        <v>6.6922714656765949</v>
      </c>
      <c r="H354" s="6">
        <f t="shared" si="71"/>
        <v>535.17163462503208</v>
      </c>
      <c r="I354" s="6">
        <f t="shared" si="72"/>
        <v>6.6896121918905767</v>
      </c>
      <c r="J354" s="6">
        <f t="shared" si="73"/>
        <v>764.82836537496758</v>
      </c>
      <c r="K354" s="6">
        <f t="shared" si="74"/>
        <v>4.7801939040547108</v>
      </c>
      <c r="L354" s="6">
        <f t="shared" si="75"/>
        <v>1172.8422613316591</v>
      </c>
      <c r="M354" s="6">
        <f t="shared" si="69"/>
        <v>2.9274738532020161</v>
      </c>
      <c r="N354" s="6">
        <f t="shared" si="76"/>
        <v>1.9120775616218841</v>
      </c>
      <c r="O354" s="6">
        <f t="shared" si="77"/>
        <v>1329.287235278646</v>
      </c>
      <c r="P354" s="6">
        <f>SUM($G$2:G354)</f>
        <v>2452.129496610306</v>
      </c>
      <c r="Q354" s="6">
        <f t="shared" si="78"/>
        <v>2472.8422613316598</v>
      </c>
      <c r="R354" s="6">
        <f t="shared" si="79"/>
        <v>2472.8422613316588</v>
      </c>
      <c r="S354" s="6">
        <f t="shared" si="80"/>
        <v>0</v>
      </c>
    </row>
    <row r="355" spans="5:19" x14ac:dyDescent="0.3">
      <c r="E355" s="2">
        <v>353</v>
      </c>
      <c r="F355" s="6">
        <f t="shared" si="68"/>
        <v>88.25</v>
      </c>
      <c r="G355" s="6">
        <f t="shared" si="70"/>
        <v>6.6922481970309668</v>
      </c>
      <c r="H355" s="6">
        <f t="shared" si="71"/>
        <v>535.17423738925015</v>
      </c>
      <c r="I355" s="6">
        <f t="shared" si="72"/>
        <v>6.6896454328129007</v>
      </c>
      <c r="J355" s="6">
        <f t="shared" si="73"/>
        <v>764.82576261074951</v>
      </c>
      <c r="K355" s="6">
        <f t="shared" si="74"/>
        <v>4.780177283593547</v>
      </c>
      <c r="L355" s="6">
        <f t="shared" si="75"/>
        <v>1174.6903329619236</v>
      </c>
      <c r="M355" s="6">
        <f t="shared" si="69"/>
        <v>2.9321056533291476</v>
      </c>
      <c r="N355" s="6">
        <f t="shared" si="76"/>
        <v>1.912070913437419</v>
      </c>
      <c r="O355" s="6">
        <f t="shared" si="77"/>
        <v>1334.1314118454127</v>
      </c>
      <c r="P355" s="6">
        <f>SUM($G$2:G355)</f>
        <v>2458.8217448073369</v>
      </c>
      <c r="Q355" s="6">
        <f t="shared" si="78"/>
        <v>2474.6903329619245</v>
      </c>
      <c r="R355" s="6">
        <f t="shared" si="79"/>
        <v>2474.6903329619231</v>
      </c>
      <c r="S355" s="6">
        <f t="shared" si="80"/>
        <v>0</v>
      </c>
    </row>
    <row r="356" spans="5:19" x14ac:dyDescent="0.3">
      <c r="E356" s="2">
        <v>354</v>
      </c>
      <c r="F356" s="6">
        <f t="shared" si="68"/>
        <v>88.5</v>
      </c>
      <c r="G356" s="6">
        <f t="shared" si="70"/>
        <v>6.692225422844059</v>
      </c>
      <c r="H356" s="6">
        <f t="shared" si="71"/>
        <v>535.17678484472856</v>
      </c>
      <c r="I356" s="6">
        <f t="shared" si="72"/>
        <v>6.6896779673656273</v>
      </c>
      <c r="J356" s="6">
        <f t="shared" si="73"/>
        <v>764.8232151552711</v>
      </c>
      <c r="K356" s="6">
        <f t="shared" si="74"/>
        <v>4.7801610163171846</v>
      </c>
      <c r="L356" s="6">
        <f t="shared" si="75"/>
        <v>1176.5337681458359</v>
      </c>
      <c r="M356" s="6">
        <f t="shared" si="69"/>
        <v>2.9367258324048091</v>
      </c>
      <c r="N356" s="6">
        <f t="shared" si="76"/>
        <v>1.9120644065268737</v>
      </c>
      <c r="O356" s="6">
        <f t="shared" si="77"/>
        <v>1338.9802020843445</v>
      </c>
      <c r="P356" s="6">
        <f>SUM($G$2:G356)</f>
        <v>2465.5139702301808</v>
      </c>
      <c r="Q356" s="6">
        <f t="shared" si="78"/>
        <v>2476.5337681458363</v>
      </c>
      <c r="R356" s="6">
        <f t="shared" si="79"/>
        <v>2476.5337681458354</v>
      </c>
      <c r="S356" s="6">
        <f t="shared" si="80"/>
        <v>0</v>
      </c>
    </row>
    <row r="357" spans="5:19" x14ac:dyDescent="0.3">
      <c r="E357" s="2">
        <v>355</v>
      </c>
      <c r="F357" s="6">
        <f t="shared" si="68"/>
        <v>88.75</v>
      </c>
      <c r="G357" s="6">
        <f t="shared" si="70"/>
        <v>6.6922031326086229</v>
      </c>
      <c r="H357" s="6">
        <f t="shared" si="71"/>
        <v>535.17927816677809</v>
      </c>
      <c r="I357" s="6">
        <f t="shared" si="72"/>
        <v>6.6897098105591066</v>
      </c>
      <c r="J357" s="6">
        <f t="shared" si="73"/>
        <v>764.82072183322157</v>
      </c>
      <c r="K357" s="6">
        <f t="shared" si="74"/>
        <v>4.780145094720444</v>
      </c>
      <c r="L357" s="6">
        <f t="shared" si="75"/>
        <v>1178.3725788201918</v>
      </c>
      <c r="M357" s="6">
        <f t="shared" si="69"/>
        <v>2.9413344203645897</v>
      </c>
      <c r="N357" s="6">
        <f t="shared" si="76"/>
        <v>1.9120580378881777</v>
      </c>
      <c r="O357" s="6">
        <f t="shared" si="77"/>
        <v>1343.8335945425972</v>
      </c>
      <c r="P357" s="6">
        <f>SUM($G$2:G357)</f>
        <v>2472.2061733627893</v>
      </c>
      <c r="Q357" s="6">
        <f t="shared" si="78"/>
        <v>2478.3725788201918</v>
      </c>
      <c r="R357" s="6">
        <f t="shared" si="79"/>
        <v>2478.3725788201914</v>
      </c>
      <c r="S357" s="6">
        <f t="shared" si="80"/>
        <v>0</v>
      </c>
    </row>
    <row r="358" spans="5:19" x14ac:dyDescent="0.3">
      <c r="E358" s="2">
        <v>356</v>
      </c>
      <c r="F358" s="6">
        <f t="shared" si="68"/>
        <v>89</v>
      </c>
      <c r="G358" s="6">
        <f t="shared" si="70"/>
        <v>6.6921813160406893</v>
      </c>
      <c r="H358" s="6">
        <f t="shared" si="71"/>
        <v>535.18171850573401</v>
      </c>
      <c r="I358" s="6">
        <f t="shared" si="72"/>
        <v>6.6897409770847265</v>
      </c>
      <c r="J358" s="6">
        <f t="shared" si="73"/>
        <v>764.81828149426565</v>
      </c>
      <c r="K358" s="6">
        <f t="shared" si="74"/>
        <v>4.780129511457635</v>
      </c>
      <c r="L358" s="6">
        <f t="shared" si="75"/>
        <v>1180.2067768845991</v>
      </c>
      <c r="M358" s="6">
        <f t="shared" si="69"/>
        <v>2.9459314470504796</v>
      </c>
      <c r="N358" s="6">
        <f t="shared" si="76"/>
        <v>1.9120518045830539</v>
      </c>
      <c r="O358" s="6">
        <f t="shared" si="77"/>
        <v>1348.6915777942309</v>
      </c>
      <c r="P358" s="6">
        <f>SUM($G$2:G358)</f>
        <v>2478.8983546788299</v>
      </c>
      <c r="Q358" s="6">
        <f t="shared" si="78"/>
        <v>2480.2067768845991</v>
      </c>
      <c r="R358" s="6">
        <f t="shared" si="79"/>
        <v>2480.2067768845986</v>
      </c>
      <c r="S358" s="6">
        <f t="shared" si="80"/>
        <v>0</v>
      </c>
    </row>
    <row r="359" spans="5:19" x14ac:dyDescent="0.3">
      <c r="E359" s="2">
        <v>357</v>
      </c>
      <c r="F359" s="6">
        <f t="shared" si="68"/>
        <v>89.25</v>
      </c>
      <c r="G359" s="6">
        <f t="shared" si="70"/>
        <v>6.6921599630748254</v>
      </c>
      <c r="H359" s="6">
        <f t="shared" si="71"/>
        <v>535.18410698748721</v>
      </c>
      <c r="I359" s="6">
        <f t="shared" si="72"/>
        <v>6.6897714813216753</v>
      </c>
      <c r="J359" s="6">
        <f t="shared" si="73"/>
        <v>764.81589301251256</v>
      </c>
      <c r="K359" s="6">
        <f t="shared" si="74"/>
        <v>4.7801142593391601</v>
      </c>
      <c r="L359" s="6">
        <f t="shared" si="75"/>
        <v>1182.0363742017269</v>
      </c>
      <c r="M359" s="6">
        <f t="shared" si="69"/>
        <v>2.9505169422114976</v>
      </c>
      <c r="N359" s="6">
        <f t="shared" si="76"/>
        <v>1.9120457037356642</v>
      </c>
      <c r="O359" s="6">
        <f t="shared" si="77"/>
        <v>1353.5541404401781</v>
      </c>
      <c r="P359" s="6">
        <f>SUM($G$2:G359)</f>
        <v>2485.590514641905</v>
      </c>
      <c r="Q359" s="6">
        <f t="shared" si="78"/>
        <v>2482.0363742017271</v>
      </c>
      <c r="R359" s="6">
        <f t="shared" si="79"/>
        <v>2482.0363742017266</v>
      </c>
      <c r="S359" s="6">
        <f t="shared" si="80"/>
        <v>0</v>
      </c>
    </row>
    <row r="360" spans="5:19" x14ac:dyDescent="0.3">
      <c r="E360" s="2">
        <v>358</v>
      </c>
      <c r="F360" s="6">
        <f t="shared" si="68"/>
        <v>89.5</v>
      </c>
      <c r="G360" s="6">
        <f t="shared" si="70"/>
        <v>6.6921390638594858</v>
      </c>
      <c r="H360" s="6">
        <f t="shared" si="71"/>
        <v>535.18644471400307</v>
      </c>
      <c r="I360" s="6">
        <f t="shared" si="72"/>
        <v>6.6898013373435905</v>
      </c>
      <c r="J360" s="6">
        <f t="shared" si="73"/>
        <v>764.8135552859967</v>
      </c>
      <c r="K360" s="6">
        <f t="shared" si="74"/>
        <v>4.7800993313282039</v>
      </c>
      <c r="L360" s="6">
        <f t="shared" si="75"/>
        <v>1183.8613825975508</v>
      </c>
      <c r="M360" s="6">
        <f t="shared" si="69"/>
        <v>2.9550909355043173</v>
      </c>
      <c r="N360" s="6">
        <f t="shared" si="76"/>
        <v>1.9120397325312815</v>
      </c>
      <c r="O360" s="6">
        <f t="shared" si="77"/>
        <v>1358.4212711082137</v>
      </c>
      <c r="P360" s="6">
        <f>SUM($G$2:G360)</f>
        <v>2492.2826537057645</v>
      </c>
      <c r="Q360" s="6">
        <f t="shared" si="78"/>
        <v>2483.8613825975508</v>
      </c>
      <c r="R360" s="6">
        <f t="shared" si="79"/>
        <v>2483.8613825975508</v>
      </c>
      <c r="S360" s="6">
        <f t="shared" si="80"/>
        <v>0</v>
      </c>
    </row>
    <row r="361" spans="5:19" x14ac:dyDescent="0.3">
      <c r="E361" s="2">
        <v>359</v>
      </c>
      <c r="F361" s="6">
        <f t="shared" si="68"/>
        <v>89.75</v>
      </c>
      <c r="G361" s="6">
        <f t="shared" si="70"/>
        <v>6.6921186087524713</v>
      </c>
      <c r="H361" s="6">
        <f t="shared" si="71"/>
        <v>535.18873276383056</v>
      </c>
      <c r="I361" s="6">
        <f t="shared" si="72"/>
        <v>6.6898305589250384</v>
      </c>
      <c r="J361" s="6">
        <f t="shared" si="73"/>
        <v>764.81126723616921</v>
      </c>
      <c r="K361" s="6">
        <f t="shared" si="74"/>
        <v>4.780084720537479</v>
      </c>
      <c r="L361" s="6">
        <f t="shared" si="75"/>
        <v>1185.6818138615945</v>
      </c>
      <c r="M361" s="6">
        <f t="shared" si="69"/>
        <v>2.9596534564938772</v>
      </c>
      <c r="N361" s="6">
        <f t="shared" si="76"/>
        <v>1.9120338882149919</v>
      </c>
      <c r="O361" s="6">
        <f t="shared" si="77"/>
        <v>1363.2929584529227</v>
      </c>
      <c r="P361" s="6">
        <f>SUM($G$2:G361)</f>
        <v>2498.9747723145169</v>
      </c>
      <c r="Q361" s="6">
        <f t="shared" si="78"/>
        <v>2485.6818138615945</v>
      </c>
      <c r="R361" s="6">
        <f t="shared" si="79"/>
        <v>2485.6818138615945</v>
      </c>
      <c r="S361" s="6">
        <f t="shared" si="80"/>
        <v>0</v>
      </c>
    </row>
    <row r="362" spans="5:19" x14ac:dyDescent="0.3">
      <c r="E362" s="2">
        <v>360</v>
      </c>
      <c r="F362" s="6">
        <f t="shared" si="68"/>
        <v>90</v>
      </c>
      <c r="G362" s="6">
        <f t="shared" si="70"/>
        <v>6.6920985883164814</v>
      </c>
      <c r="H362" s="6">
        <f t="shared" si="71"/>
        <v>535.19097219259913</v>
      </c>
      <c r="I362" s="6">
        <f t="shared" si="72"/>
        <v>6.6898591595478818</v>
      </c>
      <c r="J362" s="6">
        <f t="shared" si="73"/>
        <v>764.80902780740064</v>
      </c>
      <c r="K362" s="6">
        <f t="shared" si="74"/>
        <v>4.7800704202260578</v>
      </c>
      <c r="L362" s="6">
        <f t="shared" si="75"/>
        <v>1187.4976797471666</v>
      </c>
      <c r="M362" s="6">
        <f t="shared" si="69"/>
        <v>2.9642045346539865</v>
      </c>
      <c r="N362" s="6">
        <f t="shared" si="76"/>
        <v>1.912028168090423</v>
      </c>
      <c r="O362" s="6">
        <f t="shared" si="77"/>
        <v>1368.1691911556672</v>
      </c>
      <c r="P362" s="6">
        <f>SUM($G$2:G362)</f>
        <v>2505.6668709028336</v>
      </c>
      <c r="Q362" s="6">
        <f t="shared" si="78"/>
        <v>2487.4976797471663</v>
      </c>
      <c r="R362" s="6">
        <f t="shared" si="79"/>
        <v>2487.4976797471663</v>
      </c>
      <c r="S362" s="6">
        <f t="shared" si="80"/>
        <v>0</v>
      </c>
    </row>
    <row r="363" spans="5:19" x14ac:dyDescent="0.3">
      <c r="E363" s="2">
        <v>361</v>
      </c>
      <c r="F363" s="6">
        <f t="shared" si="68"/>
        <v>90.25</v>
      </c>
      <c r="G363" s="6">
        <f t="shared" si="70"/>
        <v>6.6920789933147562</v>
      </c>
      <c r="H363" s="6">
        <f t="shared" si="71"/>
        <v>535.19316403350638</v>
      </c>
      <c r="I363" s="6">
        <f t="shared" si="72"/>
        <v>6.689887152407489</v>
      </c>
      <c r="J363" s="6">
        <f t="shared" si="73"/>
        <v>764.80683596649328</v>
      </c>
      <c r="K363" s="6">
        <f t="shared" si="74"/>
        <v>4.7800564237962542</v>
      </c>
      <c r="L363" s="6">
        <f t="shared" si="75"/>
        <v>1189.3089919715949</v>
      </c>
      <c r="M363" s="6">
        <f t="shared" si="69"/>
        <v>2.9687441993679164</v>
      </c>
      <c r="N363" s="6">
        <f t="shared" si="76"/>
        <v>1.9120225695185016</v>
      </c>
      <c r="O363" s="6">
        <f t="shared" si="77"/>
        <v>1373.0499579245536</v>
      </c>
      <c r="P363" s="6">
        <f>SUM($G$2:G363)</f>
        <v>2512.3589498961483</v>
      </c>
      <c r="Q363" s="6">
        <f t="shared" si="78"/>
        <v>2489.3089919715949</v>
      </c>
      <c r="R363" s="6">
        <f t="shared" si="79"/>
        <v>2489.3089919715944</v>
      </c>
      <c r="S363" s="6">
        <f t="shared" si="80"/>
        <v>0</v>
      </c>
    </row>
    <row r="364" spans="5:19" x14ac:dyDescent="0.3">
      <c r="E364" s="2">
        <v>362</v>
      </c>
      <c r="F364" s="6">
        <f t="shared" si="68"/>
        <v>90.5</v>
      </c>
      <c r="G364" s="6">
        <f t="shared" si="70"/>
        <v>6.6920598147068171</v>
      </c>
      <c r="H364" s="6">
        <f t="shared" si="71"/>
        <v>535.19530929779432</v>
      </c>
      <c r="I364" s="6">
        <f t="shared" si="72"/>
        <v>6.6899145504188295</v>
      </c>
      <c r="J364" s="6">
        <f t="shared" si="73"/>
        <v>764.80469070220522</v>
      </c>
      <c r="K364" s="6">
        <f t="shared" si="74"/>
        <v>4.780042724790583</v>
      </c>
      <c r="L364" s="6">
        <f t="shared" si="75"/>
        <v>1191.1157622164565</v>
      </c>
      <c r="M364" s="6">
        <f t="shared" si="69"/>
        <v>2.9732724799289874</v>
      </c>
      <c r="N364" s="6">
        <f t="shared" si="76"/>
        <v>1.9120170899162332</v>
      </c>
      <c r="O364" s="6">
        <f t="shared" si="77"/>
        <v>1377.9352474943987</v>
      </c>
      <c r="P364" s="6">
        <f>SUM($G$2:G364)</f>
        <v>2519.0510097108549</v>
      </c>
      <c r="Q364" s="6">
        <f t="shared" si="78"/>
        <v>2491.1157622164565</v>
      </c>
      <c r="R364" s="6">
        <f t="shared" si="79"/>
        <v>2491.115762216456</v>
      </c>
      <c r="S364" s="6">
        <f t="shared" si="80"/>
        <v>0</v>
      </c>
    </row>
    <row r="365" spans="5:19" x14ac:dyDescent="0.3">
      <c r="E365" s="2">
        <v>363</v>
      </c>
      <c r="F365" s="6">
        <f t="shared" si="68"/>
        <v>90.75</v>
      </c>
      <c r="G365" s="6">
        <f t="shared" si="70"/>
        <v>6.6920410436442967</v>
      </c>
      <c r="H365" s="6">
        <f t="shared" si="71"/>
        <v>535.19740897521615</v>
      </c>
      <c r="I365" s="6">
        <f t="shared" si="72"/>
        <v>6.6899413662224294</v>
      </c>
      <c r="J365" s="6">
        <f t="shared" si="73"/>
        <v>764.8025910247834</v>
      </c>
      <c r="K365" s="6">
        <f t="shared" si="74"/>
        <v>4.7800293168887826</v>
      </c>
      <c r="L365" s="6">
        <f t="shared" si="75"/>
        <v>1192.9180021278041</v>
      </c>
      <c r="M365" s="6">
        <f t="shared" si="69"/>
        <v>2.9777894055411411</v>
      </c>
      <c r="N365" s="6">
        <f t="shared" si="76"/>
        <v>1.912011726755513</v>
      </c>
      <c r="O365" s="6">
        <f t="shared" si="77"/>
        <v>1382.8250486266954</v>
      </c>
      <c r="P365" s="6">
        <f>SUM($G$2:G365)</f>
        <v>2525.7430507544991</v>
      </c>
      <c r="Q365" s="6">
        <f t="shared" si="78"/>
        <v>2492.9180021278034</v>
      </c>
      <c r="R365" s="6">
        <f t="shared" si="79"/>
        <v>2492.9180021278034</v>
      </c>
      <c r="S365" s="6">
        <f t="shared" si="80"/>
        <v>0</v>
      </c>
    </row>
    <row r="366" spans="5:19" x14ac:dyDescent="0.3">
      <c r="E366" s="2">
        <v>364</v>
      </c>
      <c r="F366" s="6">
        <f t="shared" si="68"/>
        <v>91</v>
      </c>
      <c r="G366" s="6">
        <f t="shared" si="70"/>
        <v>6.6920226714668551</v>
      </c>
      <c r="H366" s="6">
        <f t="shared" si="71"/>
        <v>535.19946403449285</v>
      </c>
      <c r="I366" s="6">
        <f t="shared" si="72"/>
        <v>6.6899676121902019</v>
      </c>
      <c r="J366" s="6">
        <f t="shared" si="73"/>
        <v>764.80053596550681</v>
      </c>
      <c r="K366" s="6">
        <f t="shared" si="74"/>
        <v>4.7800161939048964</v>
      </c>
      <c r="L366" s="6">
        <f t="shared" si="75"/>
        <v>1194.7157233163896</v>
      </c>
      <c r="M366" s="6">
        <f t="shared" si="69"/>
        <v>2.9822950053195103</v>
      </c>
      <c r="N366" s="6">
        <f t="shared" si="76"/>
        <v>1.9120064775619585</v>
      </c>
      <c r="O366" s="6">
        <f t="shared" si="77"/>
        <v>1387.7193501095769</v>
      </c>
      <c r="P366" s="6">
        <f>SUM($G$2:G366)</f>
        <v>2532.435073425966</v>
      </c>
      <c r="Q366" s="6">
        <f t="shared" si="78"/>
        <v>2494.7157233163889</v>
      </c>
      <c r="R366" s="6">
        <f t="shared" si="79"/>
        <v>2494.7157233163889</v>
      </c>
      <c r="S366" s="6">
        <f t="shared" si="80"/>
        <v>0</v>
      </c>
    </row>
    <row r="367" spans="5:19" x14ac:dyDescent="0.3">
      <c r="E367" s="2">
        <v>365</v>
      </c>
      <c r="F367" s="6">
        <f t="shared" si="68"/>
        <v>91.25</v>
      </c>
      <c r="G367" s="6">
        <f t="shared" si="70"/>
        <v>6.6920046896981855</v>
      </c>
      <c r="H367" s="6">
        <f t="shared" si="71"/>
        <v>535.20147542375992</v>
      </c>
      <c r="I367" s="6">
        <f t="shared" si="72"/>
        <v>6.6899933004311603</v>
      </c>
      <c r="J367" s="6">
        <f t="shared" si="73"/>
        <v>764.79852457623974</v>
      </c>
      <c r="K367" s="6">
        <f t="shared" si="74"/>
        <v>4.7800033497844172</v>
      </c>
      <c r="L367" s="6">
        <f t="shared" si="75"/>
        <v>1196.508937357883</v>
      </c>
      <c r="M367" s="6">
        <f t="shared" si="69"/>
        <v>2.986789308290974</v>
      </c>
      <c r="N367" s="6">
        <f t="shared" si="76"/>
        <v>1.912001339913767</v>
      </c>
      <c r="O367" s="6">
        <f t="shared" si="77"/>
        <v>1392.6181407577817</v>
      </c>
      <c r="P367" s="6">
        <f>SUM($G$2:G367)</f>
        <v>2539.1270781156641</v>
      </c>
      <c r="Q367" s="6">
        <f t="shared" si="78"/>
        <v>2496.5089373578821</v>
      </c>
      <c r="R367" s="6">
        <f t="shared" si="79"/>
        <v>2496.5089373578826</v>
      </c>
      <c r="S367" s="6">
        <f t="shared" si="80"/>
        <v>0</v>
      </c>
    </row>
    <row r="368" spans="5:19" x14ac:dyDescent="0.3">
      <c r="E368" s="2">
        <v>366</v>
      </c>
      <c r="F368" s="6">
        <f t="shared" si="68"/>
        <v>91.5</v>
      </c>
      <c r="G368" s="6">
        <f t="shared" si="70"/>
        <v>6.6919870900420984</v>
      </c>
      <c r="H368" s="6">
        <f t="shared" si="71"/>
        <v>535.20344407100504</v>
      </c>
      <c r="I368" s="6">
        <f t="shared" si="72"/>
        <v>6.6900184427969993</v>
      </c>
      <c r="J368" s="6">
        <f t="shared" si="73"/>
        <v>764.79655592899474</v>
      </c>
      <c r="K368" s="6">
        <f t="shared" si="74"/>
        <v>4.7799907786014986</v>
      </c>
      <c r="L368" s="6">
        <f t="shared" si="75"/>
        <v>1198.2976557930899</v>
      </c>
      <c r="M368" s="6">
        <f t="shared" si="69"/>
        <v>2.9912723433947077</v>
      </c>
      <c r="N368" s="6">
        <f t="shared" si="76"/>
        <v>1.9119963114405993</v>
      </c>
      <c r="O368" s="6">
        <f t="shared" si="77"/>
        <v>1397.521409412617</v>
      </c>
      <c r="P368" s="6">
        <f>SUM($G$2:G368)</f>
        <v>2545.819065205706</v>
      </c>
      <c r="Q368" s="6">
        <f t="shared" si="78"/>
        <v>2498.2976557930888</v>
      </c>
      <c r="R368" s="6">
        <f t="shared" si="79"/>
        <v>2498.2976557930897</v>
      </c>
      <c r="S368" s="6">
        <f t="shared" si="80"/>
        <v>0</v>
      </c>
    </row>
    <row r="369" spans="5:19" x14ac:dyDescent="0.3">
      <c r="E369" s="2">
        <v>367</v>
      </c>
      <c r="F369" s="6">
        <f t="shared" si="68"/>
        <v>91.75</v>
      </c>
      <c r="G369" s="6">
        <f t="shared" si="70"/>
        <v>6.6919698643787049</v>
      </c>
      <c r="H369" s="6">
        <f t="shared" si="71"/>
        <v>535.20537088449623</v>
      </c>
      <c r="I369" s="6">
        <f t="shared" si="72"/>
        <v>6.6900430508875628</v>
      </c>
      <c r="J369" s="6">
        <f t="shared" si="73"/>
        <v>764.79462911550365</v>
      </c>
      <c r="K369" s="6">
        <f t="shared" si="74"/>
        <v>4.7799784745562173</v>
      </c>
      <c r="L369" s="6">
        <f t="shared" si="75"/>
        <v>1200.0818901281634</v>
      </c>
      <c r="M369" s="6">
        <f t="shared" si="69"/>
        <v>2.9957441394827247</v>
      </c>
      <c r="N369" s="6">
        <f t="shared" si="76"/>
        <v>1.911991389822487</v>
      </c>
      <c r="O369" s="6">
        <f t="shared" si="77"/>
        <v>1402.4291449419222</v>
      </c>
      <c r="P369" s="6">
        <f>SUM($G$2:G369)</f>
        <v>2552.5110350700847</v>
      </c>
      <c r="Q369" s="6">
        <f t="shared" si="78"/>
        <v>2500.0818901281627</v>
      </c>
      <c r="R369" s="6">
        <f t="shared" si="79"/>
        <v>2500.0818901281636</v>
      </c>
      <c r="S369" s="6">
        <f t="shared" si="80"/>
        <v>0</v>
      </c>
    </row>
    <row r="370" spans="5:19" x14ac:dyDescent="0.3">
      <c r="E370" s="2">
        <v>368</v>
      </c>
      <c r="F370" s="6">
        <f t="shared" si="68"/>
        <v>92</v>
      </c>
      <c r="G370" s="6">
        <f t="shared" si="70"/>
        <v>6.6919530047606575</v>
      </c>
      <c r="H370" s="6">
        <f t="shared" si="71"/>
        <v>535.20725675320068</v>
      </c>
      <c r="I370" s="6">
        <f t="shared" si="72"/>
        <v>6.6900671360562027</v>
      </c>
      <c r="J370" s="6">
        <f t="shared" si="73"/>
        <v>764.7927432467992</v>
      </c>
      <c r="K370" s="6">
        <f t="shared" si="74"/>
        <v>4.7799664319718982</v>
      </c>
      <c r="L370" s="6">
        <f t="shared" si="75"/>
        <v>1201.8616518348149</v>
      </c>
      <c r="M370" s="6">
        <f t="shared" si="69"/>
        <v>3.0002047253204087</v>
      </c>
      <c r="N370" s="6">
        <f t="shared" si="76"/>
        <v>1.9119865727887593</v>
      </c>
      <c r="O370" s="6">
        <f t="shared" si="77"/>
        <v>1407.3413362400313</v>
      </c>
      <c r="P370" s="6">
        <f>SUM($G$2:G370)</f>
        <v>2559.2029880748455</v>
      </c>
      <c r="Q370" s="6">
        <f t="shared" si="78"/>
        <v>2501.8616518348144</v>
      </c>
      <c r="R370" s="6">
        <f t="shared" si="79"/>
        <v>2501.8616518348149</v>
      </c>
      <c r="S370" s="6">
        <f t="shared" si="80"/>
        <v>0</v>
      </c>
    </row>
    <row r="371" spans="5:19" x14ac:dyDescent="0.3">
      <c r="E371" s="2">
        <v>369</v>
      </c>
      <c r="F371" s="6">
        <f t="shared" si="68"/>
        <v>92.25</v>
      </c>
      <c r="G371" s="6">
        <f t="shared" si="70"/>
        <v>6.6919365034094938</v>
      </c>
      <c r="H371" s="6">
        <f t="shared" si="71"/>
        <v>535.20910254719513</v>
      </c>
      <c r="I371" s="6">
        <f t="shared" si="72"/>
        <v>6.6900907094150082</v>
      </c>
      <c r="J371" s="6">
        <f t="shared" si="73"/>
        <v>764.79089745280476</v>
      </c>
      <c r="K371" s="6">
        <f t="shared" si="74"/>
        <v>4.779954645292495</v>
      </c>
      <c r="L371" s="6">
        <f t="shared" si="75"/>
        <v>1203.6369523505205</v>
      </c>
      <c r="M371" s="6">
        <f t="shared" si="69"/>
        <v>3.0046541295870375</v>
      </c>
      <c r="N371" s="6">
        <f t="shared" si="76"/>
        <v>1.9119818581169981</v>
      </c>
      <c r="O371" s="6">
        <f t="shared" si="77"/>
        <v>1412.2579722277353</v>
      </c>
      <c r="P371" s="6">
        <f>SUM($G$2:G371)</f>
        <v>2565.8949245782551</v>
      </c>
      <c r="Q371" s="6">
        <f t="shared" si="78"/>
        <v>2503.63695235052</v>
      </c>
      <c r="R371" s="6">
        <f t="shared" si="79"/>
        <v>2503.6369523505205</v>
      </c>
      <c r="S371" s="6">
        <f t="shared" si="80"/>
        <v>0</v>
      </c>
    </row>
    <row r="372" spans="5:19" x14ac:dyDescent="0.3">
      <c r="E372" s="2">
        <v>370</v>
      </c>
      <c r="F372" s="6">
        <f t="shared" si="68"/>
        <v>92.5</v>
      </c>
      <c r="G372" s="6">
        <f t="shared" si="70"/>
        <v>6.6919203527120423</v>
      </c>
      <c r="H372" s="6">
        <f t="shared" si="71"/>
        <v>535.21090911806721</v>
      </c>
      <c r="I372" s="6">
        <f t="shared" si="72"/>
        <v>6.6901137818399388</v>
      </c>
      <c r="J372" s="6">
        <f t="shared" si="73"/>
        <v>764.78909088193268</v>
      </c>
      <c r="K372" s="6">
        <f t="shared" si="74"/>
        <v>4.7799431090800297</v>
      </c>
      <c r="L372" s="6">
        <f t="shared" si="75"/>
        <v>1205.4078030787241</v>
      </c>
      <c r="M372" s="6">
        <f t="shared" si="69"/>
        <v>3.009092380876301</v>
      </c>
      <c r="N372" s="6">
        <f t="shared" si="76"/>
        <v>1.9119772436320119</v>
      </c>
      <c r="O372" s="6">
        <f t="shared" si="77"/>
        <v>1417.1790418522437</v>
      </c>
      <c r="P372" s="6">
        <f>SUM($G$2:G372)</f>
        <v>2572.5868449309673</v>
      </c>
      <c r="Q372" s="6">
        <f t="shared" si="78"/>
        <v>2505.4078030787236</v>
      </c>
      <c r="R372" s="6">
        <f t="shared" si="79"/>
        <v>2505.4078030787241</v>
      </c>
      <c r="S372" s="6">
        <f t="shared" si="80"/>
        <v>0</v>
      </c>
    </row>
    <row r="373" spans="5:19" x14ac:dyDescent="0.3">
      <c r="E373" s="2">
        <v>371</v>
      </c>
      <c r="F373" s="6">
        <f t="shared" si="68"/>
        <v>92.75</v>
      </c>
      <c r="G373" s="6">
        <f t="shared" si="70"/>
        <v>6.6919045452169117</v>
      </c>
      <c r="H373" s="6">
        <f t="shared" si="71"/>
        <v>535.21267729930833</v>
      </c>
      <c r="I373" s="6">
        <f t="shared" si="72"/>
        <v>6.6901363639758404</v>
      </c>
      <c r="J373" s="6">
        <f t="shared" si="73"/>
        <v>764.78732270069167</v>
      </c>
      <c r="K373" s="6">
        <f t="shared" si="74"/>
        <v>4.7799318180120789</v>
      </c>
      <c r="L373" s="6">
        <f t="shared" si="75"/>
        <v>1207.1742153890393</v>
      </c>
      <c r="M373" s="6">
        <f t="shared" si="69"/>
        <v>3.0135195076968104</v>
      </c>
      <c r="N373" s="6">
        <f t="shared" si="76"/>
        <v>1.9119727272048317</v>
      </c>
      <c r="O373" s="6">
        <f t="shared" si="77"/>
        <v>1422.1045340871453</v>
      </c>
      <c r="P373" s="6">
        <f>SUM($G$2:G373)</f>
        <v>2579.2787494761842</v>
      </c>
      <c r="Q373" s="6">
        <f t="shared" si="78"/>
        <v>2507.1742153890391</v>
      </c>
      <c r="R373" s="6">
        <f t="shared" si="79"/>
        <v>2507.1742153890391</v>
      </c>
      <c r="S373" s="6">
        <f t="shared" si="80"/>
        <v>0</v>
      </c>
    </row>
    <row r="374" spans="5:19" x14ac:dyDescent="0.3">
      <c r="E374" s="2">
        <v>372</v>
      </c>
      <c r="F374" s="6">
        <f t="shared" si="68"/>
        <v>93</v>
      </c>
      <c r="G374" s="6">
        <f t="shared" si="70"/>
        <v>6.691889073631053</v>
      </c>
      <c r="H374" s="6">
        <f t="shared" si="71"/>
        <v>535.21440790669806</v>
      </c>
      <c r="I374" s="6">
        <f t="shared" si="72"/>
        <v>6.6901584662413542</v>
      </c>
      <c r="J374" s="6">
        <f t="shared" si="73"/>
        <v>764.78559209330194</v>
      </c>
      <c r="K374" s="6">
        <f t="shared" si="74"/>
        <v>4.7799207668793233</v>
      </c>
      <c r="L374" s="6">
        <f t="shared" si="75"/>
        <v>1208.936200617446</v>
      </c>
      <c r="M374" s="6">
        <f t="shared" si="69"/>
        <v>3.0179355384725985</v>
      </c>
      <c r="N374" s="6">
        <f t="shared" si="76"/>
        <v>1.9119683067517292</v>
      </c>
      <c r="O374" s="6">
        <f t="shared" si="77"/>
        <v>1427.0344379323697</v>
      </c>
      <c r="P374" s="6">
        <f>SUM($G$2:G374)</f>
        <v>2585.9706385498152</v>
      </c>
      <c r="Q374" s="6">
        <f t="shared" si="78"/>
        <v>2508.9362006174456</v>
      </c>
      <c r="R374" s="6">
        <f t="shared" si="79"/>
        <v>2508.936200617446</v>
      </c>
      <c r="S374" s="6">
        <f t="shared" si="80"/>
        <v>0</v>
      </c>
    </row>
    <row r="375" spans="5:19" x14ac:dyDescent="0.3">
      <c r="E375" s="2">
        <v>373</v>
      </c>
      <c r="F375" s="6">
        <f t="shared" si="68"/>
        <v>93.25</v>
      </c>
      <c r="G375" s="6">
        <f t="shared" si="70"/>
        <v>6.691873930816393</v>
      </c>
      <c r="H375" s="6">
        <f t="shared" si="71"/>
        <v>535.21610173868078</v>
      </c>
      <c r="I375" s="6">
        <f t="shared" si="72"/>
        <v>6.6901800988337259</v>
      </c>
      <c r="J375" s="6">
        <f t="shared" si="73"/>
        <v>764.78389826131922</v>
      </c>
      <c r="K375" s="6">
        <f t="shared" si="74"/>
        <v>4.7799099505831375</v>
      </c>
      <c r="L375" s="6">
        <f t="shared" si="75"/>
        <v>1210.6937700664855</v>
      </c>
      <c r="M375" s="6">
        <f t="shared" si="69"/>
        <v>3.0223405015436153</v>
      </c>
      <c r="N375" s="6">
        <f t="shared" si="76"/>
        <v>1.9119639802332549</v>
      </c>
      <c r="O375" s="6">
        <f t="shared" si="77"/>
        <v>1431.9687424141464</v>
      </c>
      <c r="P375" s="6">
        <f>SUM($G$2:G375)</f>
        <v>2592.6625124806314</v>
      </c>
      <c r="Q375" s="6">
        <f t="shared" si="78"/>
        <v>2510.6937700664848</v>
      </c>
      <c r="R375" s="6">
        <f t="shared" si="79"/>
        <v>2510.6937700664857</v>
      </c>
      <c r="S375" s="6">
        <f t="shared" si="80"/>
        <v>0</v>
      </c>
    </row>
    <row r="376" spans="5:19" x14ac:dyDescent="0.3">
      <c r="E376" s="2">
        <v>374</v>
      </c>
      <c r="F376" s="6">
        <f t="shared" si="68"/>
        <v>93.5</v>
      </c>
      <c r="G376" s="6">
        <f t="shared" si="70"/>
        <v>6.6918591097865434</v>
      </c>
      <c r="H376" s="6">
        <f t="shared" si="71"/>
        <v>535.21775957673378</v>
      </c>
      <c r="I376" s="6">
        <f t="shared" si="72"/>
        <v>6.6902012717335095</v>
      </c>
      <c r="J376" s="6">
        <f t="shared" si="73"/>
        <v>764.7822404232661</v>
      </c>
      <c r="K376" s="6">
        <f t="shared" si="74"/>
        <v>4.7798993641332448</v>
      </c>
      <c r="L376" s="6">
        <f t="shared" si="75"/>
        <v>1212.4469350054526</v>
      </c>
      <c r="M376" s="6">
        <f t="shared" si="69"/>
        <v>3.026734425166214</v>
      </c>
      <c r="N376" s="6">
        <f t="shared" si="76"/>
        <v>1.9119597456532982</v>
      </c>
      <c r="O376" s="6">
        <f t="shared" si="77"/>
        <v>1436.907436584966</v>
      </c>
      <c r="P376" s="6">
        <f>SUM($G$2:G376)</f>
        <v>2599.3543715904179</v>
      </c>
      <c r="Q376" s="6">
        <f t="shared" si="78"/>
        <v>2512.4469350054519</v>
      </c>
      <c r="R376" s="6">
        <f t="shared" si="79"/>
        <v>2512.4469350054524</v>
      </c>
      <c r="S376" s="6">
        <f t="shared" si="80"/>
        <v>0</v>
      </c>
    </row>
    <row r="377" spans="5:19" x14ac:dyDescent="0.3">
      <c r="E377" s="2">
        <v>375</v>
      </c>
      <c r="F377" s="6">
        <f t="shared" si="68"/>
        <v>93.75</v>
      </c>
      <c r="G377" s="6">
        <f t="shared" si="70"/>
        <v>6.6918446037035793</v>
      </c>
      <c r="H377" s="6">
        <f t="shared" si="71"/>
        <v>535.21938218572814</v>
      </c>
      <c r="I377" s="6">
        <f t="shared" si="72"/>
        <v>6.6902219947091721</v>
      </c>
      <c r="J377" s="6">
        <f t="shared" si="73"/>
        <v>764.78061781427175</v>
      </c>
      <c r="K377" s="6">
        <f t="shared" si="74"/>
        <v>4.7798890026454135</v>
      </c>
      <c r="L377" s="6">
        <f t="shared" si="75"/>
        <v>1214.1957066705843</v>
      </c>
      <c r="M377" s="6">
        <f t="shared" si="69"/>
        <v>3.0311173375136313</v>
      </c>
      <c r="N377" s="6">
        <f t="shared" si="76"/>
        <v>1.9119556010581653</v>
      </c>
      <c r="O377" s="6">
        <f t="shared" si="77"/>
        <v>1441.850509523538</v>
      </c>
      <c r="P377" s="6">
        <f>SUM($G$2:G377)</f>
        <v>2606.0462161941214</v>
      </c>
      <c r="Q377" s="6">
        <f t="shared" si="78"/>
        <v>2514.1957066705836</v>
      </c>
      <c r="R377" s="6">
        <f t="shared" si="79"/>
        <v>2514.1957066705845</v>
      </c>
      <c r="S377" s="6">
        <f t="shared" si="80"/>
        <v>0</v>
      </c>
    </row>
    <row r="378" spans="5:19" x14ac:dyDescent="0.3">
      <c r="E378" s="2">
        <v>376</v>
      </c>
      <c r="F378" s="6">
        <f t="shared" si="68"/>
        <v>94</v>
      </c>
      <c r="G378" s="6">
        <f t="shared" si="70"/>
        <v>6.6918304058748781</v>
      </c>
      <c r="H378" s="6">
        <f t="shared" si="71"/>
        <v>535.22097031428143</v>
      </c>
      <c r="I378" s="6">
        <f t="shared" si="72"/>
        <v>6.6902422773216017</v>
      </c>
      <c r="J378" s="6">
        <f t="shared" si="73"/>
        <v>764.77902968571846</v>
      </c>
      <c r="K378" s="6">
        <f t="shared" si="74"/>
        <v>4.7798788613391983</v>
      </c>
      <c r="L378" s="6">
        <f t="shared" si="75"/>
        <v>1215.9400962652471</v>
      </c>
      <c r="M378" s="6">
        <f t="shared" si="69"/>
        <v>3.0354892666764606</v>
      </c>
      <c r="N378" s="6">
        <f t="shared" si="76"/>
        <v>1.9119515445356794</v>
      </c>
      <c r="O378" s="6">
        <f t="shared" si="77"/>
        <v>1446.7979503347501</v>
      </c>
      <c r="P378" s="6">
        <f>SUM($G$2:G378)</f>
        <v>2612.7380465999963</v>
      </c>
      <c r="Q378" s="6">
        <f t="shared" si="78"/>
        <v>2515.9400962652462</v>
      </c>
      <c r="R378" s="6">
        <f t="shared" si="79"/>
        <v>2515.9400962652471</v>
      </c>
      <c r="S378" s="6">
        <f t="shared" si="80"/>
        <v>0</v>
      </c>
    </row>
    <row r="379" spans="5:19" x14ac:dyDescent="0.3">
      <c r="E379" s="2">
        <v>377</v>
      </c>
      <c r="F379" s="6">
        <f t="shared" si="68"/>
        <v>94.25</v>
      </c>
      <c r="G379" s="6">
        <f t="shared" si="70"/>
        <v>6.6918165097500371</v>
      </c>
      <c r="H379" s="6">
        <f t="shared" si="71"/>
        <v>535.22252469510295</v>
      </c>
      <c r="I379" s="6">
        <f t="shared" si="72"/>
        <v>6.6902621289285182</v>
      </c>
      <c r="J379" s="6">
        <f t="shared" si="73"/>
        <v>764.77747530489694</v>
      </c>
      <c r="K379" s="6">
        <f t="shared" si="74"/>
        <v>4.77986893553574</v>
      </c>
      <c r="L379" s="6">
        <f t="shared" si="75"/>
        <v>1217.6801149601197</v>
      </c>
      <c r="M379" s="6">
        <f t="shared" si="69"/>
        <v>3.0398502406631178</v>
      </c>
      <c r="N379" s="6">
        <f t="shared" si="76"/>
        <v>1.9119475742142962</v>
      </c>
      <c r="O379" s="6">
        <f t="shared" si="77"/>
        <v>1451.7497481496275</v>
      </c>
      <c r="P379" s="6">
        <f>SUM($G$2:G379)</f>
        <v>2619.4298631097463</v>
      </c>
      <c r="Q379" s="6">
        <f t="shared" si="78"/>
        <v>2517.6801149601188</v>
      </c>
      <c r="R379" s="6">
        <f t="shared" si="79"/>
        <v>2517.6801149601197</v>
      </c>
      <c r="S379" s="6">
        <f t="shared" si="80"/>
        <v>0</v>
      </c>
    </row>
    <row r="380" spans="5:19" x14ac:dyDescent="0.3">
      <c r="E380" s="2">
        <v>378</v>
      </c>
      <c r="F380" s="6">
        <f t="shared" si="68"/>
        <v>94.5</v>
      </c>
      <c r="G380" s="6">
        <f t="shared" si="70"/>
        <v>6.6918029089178486</v>
      </c>
      <c r="H380" s="6">
        <f t="shared" si="71"/>
        <v>535.22404604533199</v>
      </c>
      <c r="I380" s="6">
        <f t="shared" si="72"/>
        <v>6.6902815586887865</v>
      </c>
      <c r="J380" s="6">
        <f t="shared" si="73"/>
        <v>764.7759539546679</v>
      </c>
      <c r="K380" s="6">
        <f t="shared" si="74"/>
        <v>4.7798592206556059</v>
      </c>
      <c r="L380" s="6">
        <f t="shared" si="75"/>
        <v>1219.415773893375</v>
      </c>
      <c r="M380" s="6">
        <f t="shared" si="69"/>
        <v>3.0442002874002991</v>
      </c>
      <c r="N380" s="6">
        <f t="shared" si="76"/>
        <v>1.9119436882622425</v>
      </c>
      <c r="O380" s="6">
        <f t="shared" si="77"/>
        <v>1456.7058921252901</v>
      </c>
      <c r="P380" s="6">
        <f>SUM($G$2:G380)</f>
        <v>2626.1216660186642</v>
      </c>
      <c r="Q380" s="6">
        <f t="shared" si="78"/>
        <v>2519.4157738933741</v>
      </c>
      <c r="R380" s="6">
        <f t="shared" si="79"/>
        <v>2519.415773893375</v>
      </c>
      <c r="S380" s="6">
        <f t="shared" si="80"/>
        <v>0</v>
      </c>
    </row>
    <row r="381" spans="5:19" x14ac:dyDescent="0.3">
      <c r="E381" s="2">
        <v>379</v>
      </c>
      <c r="F381" s="6">
        <f t="shared" si="68"/>
        <v>94.75</v>
      </c>
      <c r="G381" s="6">
        <f t="shared" si="70"/>
        <v>6.6917895971033445</v>
      </c>
      <c r="H381" s="6">
        <f t="shared" si="71"/>
        <v>535.2255350668687</v>
      </c>
      <c r="I381" s="6">
        <f t="shared" si="72"/>
        <v>6.69030057556665</v>
      </c>
      <c r="J381" s="6">
        <f t="shared" si="73"/>
        <v>764.77446493313118</v>
      </c>
      <c r="K381" s="6">
        <f t="shared" si="74"/>
        <v>4.7798497122166745</v>
      </c>
      <c r="L381" s="6">
        <f t="shared" si="75"/>
        <v>1221.1470841708583</v>
      </c>
      <c r="M381" s="6">
        <f t="shared" si="69"/>
        <v>3.0485394347334376</v>
      </c>
      <c r="N381" s="6">
        <f t="shared" si="76"/>
        <v>1.9119398848866698</v>
      </c>
      <c r="O381" s="6">
        <f t="shared" si="77"/>
        <v>1461.6663714449101</v>
      </c>
      <c r="P381" s="6">
        <f>SUM($G$2:G381)</f>
        <v>2632.8134556157675</v>
      </c>
      <c r="Q381" s="6">
        <f t="shared" si="78"/>
        <v>2521.1470841708574</v>
      </c>
      <c r="R381" s="6">
        <f t="shared" si="79"/>
        <v>2521.1470841708583</v>
      </c>
      <c r="S381" s="6">
        <f t="shared" si="80"/>
        <v>0</v>
      </c>
    </row>
    <row r="382" spans="5:19" x14ac:dyDescent="0.3">
      <c r="E382" s="2">
        <v>380</v>
      </c>
      <c r="F382" s="6">
        <f t="shared" si="68"/>
        <v>95</v>
      </c>
      <c r="G382" s="6">
        <f t="shared" si="70"/>
        <v>6.6917765681648982</v>
      </c>
      <c r="H382" s="6">
        <f t="shared" si="71"/>
        <v>535.22699244669775</v>
      </c>
      <c r="I382" s="6">
        <f t="shared" si="72"/>
        <v>6.6903191883358586</v>
      </c>
      <c r="J382" s="6">
        <f t="shared" si="73"/>
        <v>764.77300755330214</v>
      </c>
      <c r="K382" s="6">
        <f t="shared" si="74"/>
        <v>4.7798404058320703</v>
      </c>
      <c r="L382" s="6">
        <f t="shared" si="75"/>
        <v>1222.8740568662631</v>
      </c>
      <c r="M382" s="6">
        <f t="shared" si="69"/>
        <v>3.052867710427146</v>
      </c>
      <c r="N382" s="6">
        <f t="shared" si="76"/>
        <v>1.9119361623328279</v>
      </c>
      <c r="O382" s="6">
        <f t="shared" si="77"/>
        <v>1466.6311753176699</v>
      </c>
      <c r="P382" s="6">
        <f>SUM($G$2:G382)</f>
        <v>2639.5052321839325</v>
      </c>
      <c r="Q382" s="6">
        <f t="shared" si="78"/>
        <v>2522.8740568662624</v>
      </c>
      <c r="R382" s="6">
        <f t="shared" si="79"/>
        <v>2522.8740568662633</v>
      </c>
      <c r="S382" s="6">
        <f t="shared" si="80"/>
        <v>0</v>
      </c>
    </row>
    <row r="383" spans="5:19" x14ac:dyDescent="0.3">
      <c r="E383" s="2">
        <v>381</v>
      </c>
      <c r="F383" s="6">
        <f t="shared" si="68"/>
        <v>95.25</v>
      </c>
      <c r="G383" s="6">
        <f t="shared" si="70"/>
        <v>6.6917638160913944</v>
      </c>
      <c r="H383" s="6">
        <f t="shared" si="71"/>
        <v>535.22841885720538</v>
      </c>
      <c r="I383" s="6">
        <f t="shared" si="72"/>
        <v>6.6903374055837217</v>
      </c>
      <c r="J383" s="6">
        <f t="shared" si="73"/>
        <v>764.77158114279439</v>
      </c>
      <c r="K383" s="6">
        <f t="shared" si="74"/>
        <v>4.7798312972081387</v>
      </c>
      <c r="L383" s="6">
        <f t="shared" si="75"/>
        <v>1224.5967030213055</v>
      </c>
      <c r="M383" s="6">
        <f t="shared" si="69"/>
        <v>3.057185142165658</v>
      </c>
      <c r="N383" s="6">
        <f t="shared" si="76"/>
        <v>1.9119325188832554</v>
      </c>
      <c r="O383" s="6">
        <f t="shared" si="77"/>
        <v>1471.6002929787189</v>
      </c>
      <c r="P383" s="6">
        <f>SUM($G$2:G383)</f>
        <v>2646.1969960000238</v>
      </c>
      <c r="Q383" s="6">
        <f t="shared" si="78"/>
        <v>2524.5967030213051</v>
      </c>
      <c r="R383" s="6">
        <f t="shared" si="79"/>
        <v>2524.5967030213051</v>
      </c>
      <c r="S383" s="6">
        <f t="shared" si="80"/>
        <v>0</v>
      </c>
    </row>
    <row r="384" spans="5:19" x14ac:dyDescent="0.3">
      <c r="E384" s="2">
        <v>382</v>
      </c>
      <c r="F384" s="6">
        <f t="shared" si="68"/>
        <v>95.5</v>
      </c>
      <c r="G384" s="6">
        <f t="shared" si="70"/>
        <v>6.6917513349994513</v>
      </c>
      <c r="H384" s="6">
        <f t="shared" si="71"/>
        <v>535.2298149564898</v>
      </c>
      <c r="I384" s="6">
        <f t="shared" si="72"/>
        <v>6.6903552357150673</v>
      </c>
      <c r="J384" s="6">
        <f t="shared" si="73"/>
        <v>764.77018504350997</v>
      </c>
      <c r="K384" s="6">
        <f t="shared" si="74"/>
        <v>4.7798223821424646</v>
      </c>
      <c r="L384" s="6">
        <f t="shared" si="75"/>
        <v>1226.3150336458948</v>
      </c>
      <c r="M384" s="6">
        <f t="shared" si="69"/>
        <v>3.0614917575532639</v>
      </c>
      <c r="N384" s="6">
        <f t="shared" si="76"/>
        <v>1.9119289528569861</v>
      </c>
      <c r="O384" s="6">
        <f t="shared" si="77"/>
        <v>1476.5737136891291</v>
      </c>
      <c r="P384" s="6">
        <f>SUM($G$2:G384)</f>
        <v>2652.8887473350233</v>
      </c>
      <c r="Q384" s="6">
        <f t="shared" si="78"/>
        <v>2526.3150336458939</v>
      </c>
      <c r="R384" s="6">
        <f t="shared" si="79"/>
        <v>2526.3150336458948</v>
      </c>
      <c r="S384" s="6">
        <f t="shared" si="80"/>
        <v>0</v>
      </c>
    </row>
    <row r="385" spans="5:19" x14ac:dyDescent="0.3">
      <c r="E385" s="2">
        <v>383</v>
      </c>
      <c r="F385" s="6">
        <f t="shared" si="68"/>
        <v>95.75</v>
      </c>
      <c r="G385" s="6">
        <f t="shared" si="70"/>
        <v>6.6917391191307125</v>
      </c>
      <c r="H385" s="6">
        <f t="shared" si="71"/>
        <v>535.23118138866437</v>
      </c>
      <c r="I385" s="6">
        <f t="shared" si="72"/>
        <v>6.6903726869561222</v>
      </c>
      <c r="J385" s="6">
        <f t="shared" si="73"/>
        <v>764.7688186113354</v>
      </c>
      <c r="K385" s="6">
        <f t="shared" si="74"/>
        <v>4.7798136565219371</v>
      </c>
      <c r="L385" s="6">
        <f t="shared" si="75"/>
        <v>1228.0290597183021</v>
      </c>
      <c r="M385" s="6">
        <f t="shared" si="69"/>
        <v>3.0657875841147373</v>
      </c>
      <c r="N385" s="6">
        <f t="shared" si="76"/>
        <v>1.9119254626087749</v>
      </c>
      <c r="O385" s="6">
        <f t="shared" si="77"/>
        <v>1481.5514267358526</v>
      </c>
      <c r="P385" s="6">
        <f>SUM($G$2:G385)</f>
        <v>2659.5804864541537</v>
      </c>
      <c r="Q385" s="6">
        <f t="shared" si="78"/>
        <v>2528.0290597183011</v>
      </c>
      <c r="R385" s="6">
        <f t="shared" si="79"/>
        <v>2528.0290597183021</v>
      </c>
      <c r="S385" s="6">
        <f t="shared" si="80"/>
        <v>0</v>
      </c>
    </row>
    <row r="386" spans="5:19" x14ac:dyDescent="0.3">
      <c r="E386" s="2">
        <v>384</v>
      </c>
      <c r="F386" s="6">
        <f t="shared" ref="F386:F402" si="81">E386*$B$2</f>
        <v>96</v>
      </c>
      <c r="G386" s="6">
        <f t="shared" si="70"/>
        <v>6.691727162849185</v>
      </c>
      <c r="H386" s="6">
        <f t="shared" si="71"/>
        <v>535.23251878415522</v>
      </c>
      <c r="I386" s="6">
        <f t="shared" si="72"/>
        <v>6.6903897673583046</v>
      </c>
      <c r="J386" s="6">
        <f t="shared" si="73"/>
        <v>764.76748121584444</v>
      </c>
      <c r="K386" s="6">
        <f t="shared" si="74"/>
        <v>4.7798051163208459</v>
      </c>
      <c r="L386" s="6">
        <f t="shared" si="75"/>
        <v>1229.7387921853272</v>
      </c>
      <c r="M386" s="6">
        <f t="shared" si="69"/>
        <v>3.0700726492957551</v>
      </c>
      <c r="N386" s="6">
        <f t="shared" si="76"/>
        <v>1.9119220465283386</v>
      </c>
      <c r="O386" s="6">
        <f t="shared" si="77"/>
        <v>1486.5334214316767</v>
      </c>
      <c r="P386" s="6">
        <f>SUM($G$2:G386)</f>
        <v>2666.2722136170028</v>
      </c>
      <c r="Q386" s="6">
        <f t="shared" si="78"/>
        <v>2529.738792185326</v>
      </c>
      <c r="R386" s="6">
        <f t="shared" si="79"/>
        <v>2529.7387921853269</v>
      </c>
      <c r="S386" s="6">
        <f t="shared" si="80"/>
        <v>0</v>
      </c>
    </row>
    <row r="387" spans="5:19" x14ac:dyDescent="0.3">
      <c r="E387" s="2">
        <v>385</v>
      </c>
      <c r="F387" s="6">
        <f t="shared" si="81"/>
        <v>96.25</v>
      </c>
      <c r="G387" s="6">
        <f t="shared" si="70"/>
        <v>6.6917154606386395</v>
      </c>
      <c r="H387" s="6">
        <f t="shared" si="71"/>
        <v>535.23382775999187</v>
      </c>
      <c r="I387" s="6">
        <f t="shared" si="72"/>
        <v>6.6904064848019402</v>
      </c>
      <c r="J387" s="6">
        <f t="shared" si="73"/>
        <v>764.76617224000768</v>
      </c>
      <c r="K387" s="6">
        <f t="shared" si="74"/>
        <v>4.7797967575990281</v>
      </c>
      <c r="L387" s="6">
        <f t="shared" si="75"/>
        <v>1231.4442419624629</v>
      </c>
      <c r="M387" s="6">
        <f t="shared" ref="M387:M402" si="82">L386*$B$8*$B$2</f>
        <v>3.0743469804633179</v>
      </c>
      <c r="N387" s="6">
        <f t="shared" si="76"/>
        <v>1.9119187030396112</v>
      </c>
      <c r="O387" s="6">
        <f t="shared" si="77"/>
        <v>1491.5196871151797</v>
      </c>
      <c r="P387" s="6">
        <f>SUM($G$2:G387)</f>
        <v>2672.9639290776413</v>
      </c>
      <c r="Q387" s="6">
        <f t="shared" si="78"/>
        <v>2531.4442419624615</v>
      </c>
      <c r="R387" s="6">
        <f t="shared" si="79"/>
        <v>2531.4442419624625</v>
      </c>
      <c r="S387" s="6">
        <f t="shared" si="80"/>
        <v>0</v>
      </c>
    </row>
    <row r="388" spans="5:19" x14ac:dyDescent="0.3">
      <c r="E388" s="2">
        <v>386</v>
      </c>
      <c r="F388" s="6">
        <f t="shared" si="81"/>
        <v>96.5</v>
      </c>
      <c r="G388" s="6">
        <f t="shared" ref="G388:G402" si="83">J387*$B$7*$B$2</f>
        <v>6.6917040071000677</v>
      </c>
      <c r="H388" s="6">
        <f t="shared" ref="H388:H402" si="84">H387+(G388-I388)</f>
        <v>535.23510892009199</v>
      </c>
      <c r="I388" s="6">
        <f t="shared" ref="I388:I402" si="85">H387*$B$2/$B$10</f>
        <v>6.6904228469998985</v>
      </c>
      <c r="J388" s="6">
        <f t="shared" ref="J388:J402" si="86">J387+I388-K388-N388</f>
        <v>764.76489107990744</v>
      </c>
      <c r="K388" s="6">
        <f t="shared" ref="K388:K402" si="87">J387*$B$2/$B$11</f>
        <v>4.7797885765000476</v>
      </c>
      <c r="L388" s="6">
        <f t="shared" ref="L388:L402" si="88">L387+(K388-M388)</f>
        <v>1233.1454199340567</v>
      </c>
      <c r="M388" s="6">
        <f t="shared" si="82"/>
        <v>3.0786106049061575</v>
      </c>
      <c r="N388" s="6">
        <f t="shared" ref="N388:N402" si="89">J387*$B$9*$B$2</f>
        <v>1.9119154306000192</v>
      </c>
      <c r="O388" s="6">
        <f t="shared" ref="O388:O402" si="90">O387+M388+N388</f>
        <v>1496.5102131506858</v>
      </c>
      <c r="P388" s="6">
        <f>SUM($G$2:G388)</f>
        <v>2679.6556330847416</v>
      </c>
      <c r="Q388" s="6">
        <f t="shared" ref="Q388:Q402" si="91">$B$3+P388-O388</f>
        <v>2533.145419934056</v>
      </c>
      <c r="R388" s="6">
        <f t="shared" ref="R388:R402" si="92">H388+J388+L388</f>
        <v>2533.145419934056</v>
      </c>
      <c r="S388" s="6">
        <f t="shared" ref="S388:S402" si="93">Q388-R388</f>
        <v>0</v>
      </c>
    </row>
    <row r="389" spans="5:19" x14ac:dyDescent="0.3">
      <c r="E389" s="2">
        <v>387</v>
      </c>
      <c r="F389" s="6">
        <f t="shared" si="81"/>
        <v>96.75</v>
      </c>
      <c r="G389" s="6">
        <f t="shared" si="83"/>
        <v>6.6916927969491908</v>
      </c>
      <c r="H389" s="6">
        <f t="shared" si="84"/>
        <v>535.23636285554005</v>
      </c>
      <c r="I389" s="6">
        <f t="shared" si="85"/>
        <v>6.6904388615011499</v>
      </c>
      <c r="J389" s="6">
        <f t="shared" si="86"/>
        <v>764.76363714445938</v>
      </c>
      <c r="K389" s="6">
        <f t="shared" si="87"/>
        <v>4.7797805692494215</v>
      </c>
      <c r="L389" s="6">
        <f t="shared" si="88"/>
        <v>1234.842336953471</v>
      </c>
      <c r="M389" s="6">
        <f t="shared" si="82"/>
        <v>3.082863549835142</v>
      </c>
      <c r="N389" s="6">
        <f t="shared" si="89"/>
        <v>1.9119122276997687</v>
      </c>
      <c r="O389" s="6">
        <f t="shared" si="90"/>
        <v>1501.5049889282207</v>
      </c>
      <c r="P389" s="6">
        <f>SUM($G$2:G389)</f>
        <v>2686.3473258816907</v>
      </c>
      <c r="Q389" s="6">
        <f t="shared" si="91"/>
        <v>2534.8423369534703</v>
      </c>
      <c r="R389" s="6">
        <f t="shared" si="92"/>
        <v>2534.8423369534703</v>
      </c>
      <c r="S389" s="6">
        <f t="shared" si="93"/>
        <v>0</v>
      </c>
    </row>
    <row r="390" spans="5:19" x14ac:dyDescent="0.3">
      <c r="E390" s="2">
        <v>388</v>
      </c>
      <c r="F390" s="6">
        <f t="shared" si="81"/>
        <v>97</v>
      </c>
      <c r="G390" s="6">
        <f t="shared" si="83"/>
        <v>6.6916818250140206</v>
      </c>
      <c r="H390" s="6">
        <f t="shared" si="84"/>
        <v>535.23759014485984</v>
      </c>
      <c r="I390" s="6">
        <f t="shared" si="85"/>
        <v>6.6904545356942506</v>
      </c>
      <c r="J390" s="6">
        <f t="shared" si="86"/>
        <v>764.76240985513959</v>
      </c>
      <c r="K390" s="6">
        <f t="shared" si="87"/>
        <v>4.7797727321528711</v>
      </c>
      <c r="L390" s="6">
        <f t="shared" si="88"/>
        <v>1236.5350038432402</v>
      </c>
      <c r="M390" s="6">
        <f t="shared" si="82"/>
        <v>3.0871058423836777</v>
      </c>
      <c r="N390" s="6">
        <f t="shared" si="89"/>
        <v>1.9119090928611484</v>
      </c>
      <c r="O390" s="6">
        <f t="shared" si="90"/>
        <v>1506.5040038634654</v>
      </c>
      <c r="P390" s="6">
        <f>SUM($G$2:G390)</f>
        <v>2693.0390077067045</v>
      </c>
      <c r="Q390" s="6">
        <f t="shared" si="91"/>
        <v>2536.5350038432389</v>
      </c>
      <c r="R390" s="6">
        <f t="shared" si="92"/>
        <v>2536.5350038432398</v>
      </c>
      <c r="S390" s="6">
        <f t="shared" si="93"/>
        <v>0</v>
      </c>
    </row>
    <row r="391" spans="5:19" x14ac:dyDescent="0.3">
      <c r="E391" s="2">
        <v>389</v>
      </c>
      <c r="F391" s="6">
        <f t="shared" si="81"/>
        <v>97.25</v>
      </c>
      <c r="G391" s="6">
        <f t="shared" si="83"/>
        <v>6.6916710862324722</v>
      </c>
      <c r="H391" s="6">
        <f t="shared" si="84"/>
        <v>535.2387913542816</v>
      </c>
      <c r="I391" s="6">
        <f t="shared" si="85"/>
        <v>6.6904698768107478</v>
      </c>
      <c r="J391" s="6">
        <f t="shared" si="86"/>
        <v>764.76120864571794</v>
      </c>
      <c r="K391" s="6">
        <f t="shared" si="87"/>
        <v>4.7797650615946221</v>
      </c>
      <c r="L391" s="6">
        <f t="shared" si="88"/>
        <v>1238.2234313952267</v>
      </c>
      <c r="M391" s="6">
        <f t="shared" si="82"/>
        <v>3.0913375096081008</v>
      </c>
      <c r="N391" s="6">
        <f t="shared" si="89"/>
        <v>1.911906024637849</v>
      </c>
      <c r="O391" s="6">
        <f t="shared" si="90"/>
        <v>1511.5072473977114</v>
      </c>
      <c r="P391" s="6">
        <f>SUM($G$2:G391)</f>
        <v>2699.7306787929369</v>
      </c>
      <c r="Q391" s="6">
        <f t="shared" si="91"/>
        <v>2538.2234313952258</v>
      </c>
      <c r="R391" s="6">
        <f t="shared" si="92"/>
        <v>2538.2234313952263</v>
      </c>
      <c r="S391" s="6">
        <f t="shared" si="93"/>
        <v>0</v>
      </c>
    </row>
    <row r="392" spans="5:19" x14ac:dyDescent="0.3">
      <c r="E392" s="2">
        <v>390</v>
      </c>
      <c r="F392" s="6">
        <f t="shared" si="81"/>
        <v>97.5</v>
      </c>
      <c r="G392" s="6">
        <f t="shared" si="83"/>
        <v>6.6916605756500322</v>
      </c>
      <c r="H392" s="6">
        <f t="shared" si="84"/>
        <v>535.2399670380031</v>
      </c>
      <c r="I392" s="6">
        <f t="shared" si="85"/>
        <v>6.69048489192852</v>
      </c>
      <c r="J392" s="6">
        <f t="shared" si="86"/>
        <v>764.76003296199633</v>
      </c>
      <c r="K392" s="6">
        <f t="shared" si="87"/>
        <v>4.7797575540357373</v>
      </c>
      <c r="L392" s="6">
        <f t="shared" si="88"/>
        <v>1239.9076303707743</v>
      </c>
      <c r="M392" s="6">
        <f t="shared" si="82"/>
        <v>3.0955585784880668</v>
      </c>
      <c r="N392" s="6">
        <f t="shared" si="89"/>
        <v>1.9119030216142949</v>
      </c>
      <c r="O392" s="6">
        <f t="shared" si="90"/>
        <v>1516.5147089978136</v>
      </c>
      <c r="P392" s="6">
        <f>SUM($G$2:G392)</f>
        <v>2706.422339368587</v>
      </c>
      <c r="Q392" s="6">
        <f t="shared" si="91"/>
        <v>2539.9076303707734</v>
      </c>
      <c r="R392" s="6">
        <f t="shared" si="92"/>
        <v>2539.9076303707739</v>
      </c>
      <c r="S392" s="6">
        <f t="shared" si="93"/>
        <v>0</v>
      </c>
    </row>
    <row r="393" spans="5:19" x14ac:dyDescent="0.3">
      <c r="E393" s="2">
        <v>391</v>
      </c>
      <c r="F393" s="6">
        <f t="shared" si="81"/>
        <v>97.75</v>
      </c>
      <c r="G393" s="6">
        <f t="shared" si="83"/>
        <v>6.6916502884174687</v>
      </c>
      <c r="H393" s="6">
        <f t="shared" si="84"/>
        <v>535.2411177384455</v>
      </c>
      <c r="I393" s="6">
        <f t="shared" si="85"/>
        <v>6.6904995879750384</v>
      </c>
      <c r="J393" s="6">
        <f t="shared" si="86"/>
        <v>764.75888226155394</v>
      </c>
      <c r="K393" s="6">
        <f t="shared" si="87"/>
        <v>4.7797502060124772</v>
      </c>
      <c r="L393" s="6">
        <f t="shared" si="88"/>
        <v>1241.5876115008598</v>
      </c>
      <c r="M393" s="6">
        <f t="shared" si="82"/>
        <v>3.0997690759269361</v>
      </c>
      <c r="N393" s="6">
        <f t="shared" si="89"/>
        <v>1.9119000824049908</v>
      </c>
      <c r="O393" s="6">
        <f t="shared" si="90"/>
        <v>1521.5263781561457</v>
      </c>
      <c r="P393" s="6">
        <f>SUM($G$2:G393)</f>
        <v>2713.1139896570044</v>
      </c>
      <c r="Q393" s="6">
        <f t="shared" si="91"/>
        <v>2541.5876115008587</v>
      </c>
      <c r="R393" s="6">
        <f t="shared" si="92"/>
        <v>2541.5876115008596</v>
      </c>
      <c r="S393" s="6">
        <f t="shared" si="93"/>
        <v>0</v>
      </c>
    </row>
    <row r="394" spans="5:19" x14ac:dyDescent="0.3">
      <c r="E394" s="2">
        <v>392</v>
      </c>
      <c r="F394" s="6">
        <f t="shared" si="81"/>
        <v>98</v>
      </c>
      <c r="G394" s="6">
        <f t="shared" si="83"/>
        <v>6.6916402197885976</v>
      </c>
      <c r="H394" s="6">
        <f t="shared" si="84"/>
        <v>535.24224398650358</v>
      </c>
      <c r="I394" s="6">
        <f t="shared" si="85"/>
        <v>6.6905139717305691</v>
      </c>
      <c r="J394" s="6">
        <f t="shared" si="86"/>
        <v>764.75775601349585</v>
      </c>
      <c r="K394" s="6">
        <f t="shared" si="87"/>
        <v>4.7797430141347119</v>
      </c>
      <c r="L394" s="6">
        <f t="shared" si="88"/>
        <v>1243.2633854862424</v>
      </c>
      <c r="M394" s="6">
        <f t="shared" si="82"/>
        <v>3.1039690287521498</v>
      </c>
      <c r="N394" s="6">
        <f t="shared" si="89"/>
        <v>1.9118972056538848</v>
      </c>
      <c r="O394" s="6">
        <f t="shared" si="90"/>
        <v>1526.5422443905518</v>
      </c>
      <c r="P394" s="6">
        <f>SUM($G$2:G394)</f>
        <v>2719.8056298767929</v>
      </c>
      <c r="Q394" s="6">
        <f t="shared" si="91"/>
        <v>2543.2633854862411</v>
      </c>
      <c r="R394" s="6">
        <f t="shared" si="92"/>
        <v>2543.263385486242</v>
      </c>
      <c r="S394" s="6">
        <f t="shared" si="93"/>
        <v>0</v>
      </c>
    </row>
    <row r="395" spans="5:19" x14ac:dyDescent="0.3">
      <c r="E395" s="2">
        <v>393</v>
      </c>
      <c r="F395" s="6">
        <f t="shared" si="81"/>
        <v>98.25</v>
      </c>
      <c r="G395" s="6">
        <f t="shared" si="83"/>
        <v>6.6916303651180895</v>
      </c>
      <c r="H395" s="6">
        <f t="shared" si="84"/>
        <v>535.24334630179033</v>
      </c>
      <c r="I395" s="6">
        <f t="shared" si="85"/>
        <v>6.6905280498312951</v>
      </c>
      <c r="J395" s="6">
        <f t="shared" si="86"/>
        <v>764.75665369820911</v>
      </c>
      <c r="K395" s="6">
        <f t="shared" si="87"/>
        <v>4.7797359750843489</v>
      </c>
      <c r="L395" s="6">
        <f t="shared" si="88"/>
        <v>1244.9349629976111</v>
      </c>
      <c r="M395" s="6">
        <f t="shared" si="82"/>
        <v>3.1081584637156063</v>
      </c>
      <c r="N395" s="6">
        <f t="shared" si="89"/>
        <v>1.9118943900337397</v>
      </c>
      <c r="O395" s="6">
        <f t="shared" si="90"/>
        <v>1531.5622972443011</v>
      </c>
      <c r="P395" s="6">
        <f>SUM($G$2:G395)</f>
        <v>2726.4972602419111</v>
      </c>
      <c r="Q395" s="6">
        <f t="shared" si="91"/>
        <v>2544.93496299761</v>
      </c>
      <c r="R395" s="6">
        <f t="shared" si="92"/>
        <v>2544.9349629976105</v>
      </c>
      <c r="S395" s="6">
        <f t="shared" si="93"/>
        <v>0</v>
      </c>
    </row>
    <row r="396" spans="5:19" x14ac:dyDescent="0.3">
      <c r="E396" s="2">
        <v>394</v>
      </c>
      <c r="F396" s="6">
        <f t="shared" si="81"/>
        <v>98.5</v>
      </c>
      <c r="G396" s="6">
        <f t="shared" si="83"/>
        <v>6.6916207198593307</v>
      </c>
      <c r="H396" s="6">
        <f t="shared" si="84"/>
        <v>535.24442519287732</v>
      </c>
      <c r="I396" s="6">
        <f t="shared" si="85"/>
        <v>6.6905418287723792</v>
      </c>
      <c r="J396" s="6">
        <f t="shared" si="86"/>
        <v>764.75557480712212</v>
      </c>
      <c r="K396" s="6">
        <f t="shared" si="87"/>
        <v>4.7797290856138073</v>
      </c>
      <c r="L396" s="6">
        <f t="shared" si="88"/>
        <v>1246.602354675731</v>
      </c>
      <c r="M396" s="6">
        <f t="shared" si="82"/>
        <v>3.112337407494028</v>
      </c>
      <c r="N396" s="6">
        <f t="shared" si="89"/>
        <v>1.9118916342455228</v>
      </c>
      <c r="O396" s="6">
        <f t="shared" si="90"/>
        <v>1536.5865262860407</v>
      </c>
      <c r="P396" s="6">
        <f>SUM($G$2:G396)</f>
        <v>2733.1888809617703</v>
      </c>
      <c r="Q396" s="6">
        <f t="shared" si="91"/>
        <v>2546.6023546757297</v>
      </c>
      <c r="R396" s="6">
        <f t="shared" si="92"/>
        <v>2546.6023546757306</v>
      </c>
      <c r="S396" s="6">
        <f t="shared" si="93"/>
        <v>0</v>
      </c>
    </row>
    <row r="397" spans="5:19" x14ac:dyDescent="0.3">
      <c r="E397" s="2">
        <v>395</v>
      </c>
      <c r="F397" s="6">
        <f t="shared" si="81"/>
        <v>98.75</v>
      </c>
      <c r="G397" s="6">
        <f t="shared" si="83"/>
        <v>6.691611279562319</v>
      </c>
      <c r="H397" s="6">
        <f t="shared" si="84"/>
        <v>535.24548115752862</v>
      </c>
      <c r="I397" s="6">
        <f t="shared" si="85"/>
        <v>6.6905553149109664</v>
      </c>
      <c r="J397" s="6">
        <f t="shared" si="86"/>
        <v>764.75451884247082</v>
      </c>
      <c r="K397" s="6">
        <f t="shared" si="87"/>
        <v>4.7797223425445132</v>
      </c>
      <c r="L397" s="6">
        <f t="shared" si="88"/>
        <v>1248.2655711315863</v>
      </c>
      <c r="M397" s="6">
        <f t="shared" si="82"/>
        <v>3.1165058866893278</v>
      </c>
      <c r="N397" s="6">
        <f t="shared" si="89"/>
        <v>1.9118889370178054</v>
      </c>
      <c r="O397" s="6">
        <f t="shared" si="90"/>
        <v>1541.6149211097477</v>
      </c>
      <c r="P397" s="6">
        <f>SUM($G$2:G397)</f>
        <v>2739.8804922413328</v>
      </c>
      <c r="Q397" s="6">
        <f t="shared" si="91"/>
        <v>2548.2655711315851</v>
      </c>
      <c r="R397" s="6">
        <f t="shared" si="92"/>
        <v>2548.2655711315856</v>
      </c>
      <c r="S397" s="6">
        <f t="shared" si="93"/>
        <v>0</v>
      </c>
    </row>
    <row r="398" spans="5:19" x14ac:dyDescent="0.3">
      <c r="E398" s="2">
        <v>396</v>
      </c>
      <c r="F398" s="6">
        <f t="shared" si="81"/>
        <v>99</v>
      </c>
      <c r="G398" s="6">
        <f t="shared" si="83"/>
        <v>6.6916020398716203</v>
      </c>
      <c r="H398" s="6">
        <f t="shared" si="84"/>
        <v>535.24651468293109</v>
      </c>
      <c r="I398" s="6">
        <f t="shared" si="85"/>
        <v>6.6905685144691081</v>
      </c>
      <c r="J398" s="6">
        <f t="shared" si="86"/>
        <v>764.75348531706823</v>
      </c>
      <c r="K398" s="6">
        <f t="shared" si="87"/>
        <v>4.7797157427654424</v>
      </c>
      <c r="L398" s="6">
        <f t="shared" si="88"/>
        <v>1249.9246229465227</v>
      </c>
      <c r="M398" s="6">
        <f t="shared" si="82"/>
        <v>3.1206639278289656</v>
      </c>
      <c r="N398" s="6">
        <f t="shared" si="89"/>
        <v>1.911886297106177</v>
      </c>
      <c r="O398" s="6">
        <f t="shared" si="90"/>
        <v>1546.6474713346827</v>
      </c>
      <c r="P398" s="6">
        <f>SUM($G$2:G398)</f>
        <v>2746.5720942812045</v>
      </c>
      <c r="Q398" s="6">
        <f t="shared" si="91"/>
        <v>2549.9246229465216</v>
      </c>
      <c r="R398" s="6">
        <f t="shared" si="92"/>
        <v>2549.924622946522</v>
      </c>
      <c r="S398" s="6">
        <f t="shared" si="93"/>
        <v>0</v>
      </c>
    </row>
    <row r="399" spans="5:19" x14ac:dyDescent="0.3">
      <c r="E399" s="2">
        <v>397</v>
      </c>
      <c r="F399" s="6">
        <f t="shared" si="81"/>
        <v>99.25</v>
      </c>
      <c r="G399" s="6">
        <f t="shared" si="83"/>
        <v>6.6915929965243475</v>
      </c>
      <c r="H399" s="6">
        <f t="shared" si="84"/>
        <v>535.24752624591883</v>
      </c>
      <c r="I399" s="6">
        <f t="shared" si="85"/>
        <v>6.6905814335366385</v>
      </c>
      <c r="J399" s="6">
        <f t="shared" si="86"/>
        <v>764.75247375408048</v>
      </c>
      <c r="K399" s="6">
        <f t="shared" si="87"/>
        <v>4.7797092832316768</v>
      </c>
      <c r="L399" s="6">
        <f t="shared" si="88"/>
        <v>1251.5795206723881</v>
      </c>
      <c r="M399" s="6">
        <f t="shared" si="82"/>
        <v>3.1248115573663071</v>
      </c>
      <c r="N399" s="6">
        <f t="shared" si="89"/>
        <v>1.9118837132926707</v>
      </c>
      <c r="O399" s="6">
        <f t="shared" si="90"/>
        <v>1551.6841666053415</v>
      </c>
      <c r="P399" s="6">
        <f>SUM($G$2:G399)</f>
        <v>2753.2636872777289</v>
      </c>
      <c r="Q399" s="6">
        <f t="shared" si="91"/>
        <v>2551.5795206723878</v>
      </c>
      <c r="R399" s="6">
        <f t="shared" si="92"/>
        <v>2551.5795206723874</v>
      </c>
      <c r="S399" s="6">
        <f t="shared" si="93"/>
        <v>0</v>
      </c>
    </row>
    <row r="400" spans="5:19" x14ac:dyDescent="0.3">
      <c r="E400" s="2">
        <v>398</v>
      </c>
      <c r="F400" s="6">
        <f t="shared" si="81"/>
        <v>99.5</v>
      </c>
      <c r="G400" s="6">
        <f t="shared" si="83"/>
        <v>6.6915841453482052</v>
      </c>
      <c r="H400" s="6">
        <f t="shared" si="84"/>
        <v>535.24851631319302</v>
      </c>
      <c r="I400" s="6">
        <f t="shared" si="85"/>
        <v>6.6905940780739854</v>
      </c>
      <c r="J400" s="6">
        <f t="shared" si="86"/>
        <v>764.7514836868063</v>
      </c>
      <c r="K400" s="6">
        <f t="shared" si="87"/>
        <v>4.7797029609630028</v>
      </c>
      <c r="L400" s="6">
        <f t="shared" si="88"/>
        <v>1253.2302748316702</v>
      </c>
      <c r="M400" s="6">
        <f t="shared" si="82"/>
        <v>3.1289488016809703</v>
      </c>
      <c r="N400" s="6">
        <f t="shared" si="89"/>
        <v>1.9118811843852013</v>
      </c>
      <c r="O400" s="6">
        <f t="shared" si="90"/>
        <v>1556.7249965914077</v>
      </c>
      <c r="P400" s="6">
        <f>SUM($G$2:G400)</f>
        <v>2759.9552714230772</v>
      </c>
      <c r="Q400" s="6">
        <f t="shared" si="91"/>
        <v>2553.2302748316697</v>
      </c>
      <c r="R400" s="6">
        <f t="shared" si="92"/>
        <v>2553.2302748316697</v>
      </c>
      <c r="S400" s="6">
        <f t="shared" si="93"/>
        <v>0</v>
      </c>
    </row>
    <row r="401" spans="5:19" x14ac:dyDescent="0.3">
      <c r="E401" s="2">
        <v>399</v>
      </c>
      <c r="F401" s="6">
        <f t="shared" si="81"/>
        <v>99.75</v>
      </c>
      <c r="G401" s="6">
        <f t="shared" si="83"/>
        <v>6.6915754822595561</v>
      </c>
      <c r="H401" s="6">
        <f t="shared" si="84"/>
        <v>535.24948534153771</v>
      </c>
      <c r="I401" s="6">
        <f t="shared" si="85"/>
        <v>6.6906064539149126</v>
      </c>
      <c r="J401" s="6">
        <f t="shared" si="86"/>
        <v>764.75051465846161</v>
      </c>
      <c r="K401" s="6">
        <f t="shared" si="87"/>
        <v>4.7796967730425397</v>
      </c>
      <c r="L401" s="6">
        <f t="shared" si="88"/>
        <v>1254.8768959176334</v>
      </c>
      <c r="M401" s="6">
        <f t="shared" si="82"/>
        <v>3.1330756870791756</v>
      </c>
      <c r="N401" s="6">
        <f t="shared" si="89"/>
        <v>1.9118787092170157</v>
      </c>
      <c r="O401" s="6">
        <f t="shared" si="90"/>
        <v>1561.7699509877039</v>
      </c>
      <c r="P401" s="6">
        <f>SUM($G$2:G401)</f>
        <v>2766.6468469053366</v>
      </c>
      <c r="Q401" s="6">
        <f t="shared" si="91"/>
        <v>2554.8768959176323</v>
      </c>
      <c r="R401" s="6">
        <f t="shared" si="92"/>
        <v>2554.8768959176327</v>
      </c>
      <c r="S401" s="6">
        <f t="shared" si="93"/>
        <v>0</v>
      </c>
    </row>
    <row r="402" spans="5:19" x14ac:dyDescent="0.3">
      <c r="E402" s="2">
        <v>400</v>
      </c>
      <c r="F402" s="6">
        <f t="shared" si="81"/>
        <v>100</v>
      </c>
      <c r="G402" s="6">
        <f t="shared" si="83"/>
        <v>6.6915670032615395</v>
      </c>
      <c r="H402" s="6">
        <f t="shared" si="84"/>
        <v>535.25043377803001</v>
      </c>
      <c r="I402" s="6">
        <f t="shared" si="85"/>
        <v>6.6906185667692215</v>
      </c>
      <c r="J402" s="6">
        <f t="shared" si="86"/>
        <v>764.7495662219693</v>
      </c>
      <c r="K402" s="6">
        <f t="shared" si="87"/>
        <v>4.7796907166153852</v>
      </c>
      <c r="L402" s="6">
        <f t="shared" si="88"/>
        <v>1256.5193943944548</v>
      </c>
      <c r="M402" s="6">
        <f t="shared" si="82"/>
        <v>3.1371922397940835</v>
      </c>
      <c r="N402" s="6">
        <f t="shared" si="89"/>
        <v>1.9118762866461541</v>
      </c>
      <c r="O402" s="6">
        <f t="shared" si="90"/>
        <v>1566.8190195141442</v>
      </c>
      <c r="P402" s="6">
        <f>SUM($G$2:G402)</f>
        <v>2773.3384139085983</v>
      </c>
      <c r="Q402" s="6">
        <f t="shared" si="91"/>
        <v>2556.5193943944541</v>
      </c>
      <c r="R402" s="6">
        <f t="shared" si="92"/>
        <v>2556.5193943944541</v>
      </c>
      <c r="S402" s="6">
        <f t="shared" si="93"/>
        <v>0</v>
      </c>
    </row>
  </sheetData>
  <sheetProtection password="CC7D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2026-04-23T16:08:37Z</dcterms:modified>
</cp:coreProperties>
</file>